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ink/ink1.xml" ContentType="application/inkml+xml"/>
  <Override PartName="/xl/ink/ink2.xml" ContentType="application/inkml+xml"/>
  <Override PartName="/xl/ink/ink3.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uhammad Omer\Downloads\"/>
    </mc:Choice>
  </mc:AlternateContent>
  <xr:revisionPtr revIDLastSave="0" documentId="13_ncr:1_{5EBCE862-0063-483E-BBF3-2EADCEFB6420}" xr6:coauthVersionLast="47" xr6:coauthVersionMax="47" xr10:uidLastSave="{00000000-0000-0000-0000-000000000000}"/>
  <bookViews>
    <workbookView xWindow="-110" yWindow="-110" windowWidth="25820" windowHeight="15500" activeTab="2" xr2:uid="{00000000-000D-0000-FFFF-FFFF00000000}"/>
  </bookViews>
  <sheets>
    <sheet name="Dataset" sheetId="1" r:id="rId1"/>
    <sheet name="Prompt" sheetId="4" r:id="rId2"/>
    <sheet name="Sheet1" sheetId="5" r:id="rId3"/>
    <sheet name="Dictionary" sheetId="2" r:id="rId4"/>
    <sheet name="Assumptions"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5" l="1"/>
  <c r="D6" i="5"/>
  <c r="D5" i="5"/>
  <c r="D7" i="5" s="1"/>
  <c r="D4" i="5"/>
  <c r="D9" i="5" l="1"/>
</calcChain>
</file>

<file path=xl/sharedStrings.xml><?xml version="1.0" encoding="utf-8"?>
<sst xmlns="http://schemas.openxmlformats.org/spreadsheetml/2006/main" count="1010" uniqueCount="333">
  <si>
    <t>Company-Calibrated Synthetic Dataset for Academic Analysis — illustrative figures, calibrated to Matco Foods Limited's disclosed scale, not actual company records.</t>
  </si>
  <si>
    <t>Falak Extreme 5 kg weekly synthetic sales</t>
  </si>
  <si>
    <t>Week_Start_Date</t>
  </si>
  <si>
    <t>Product_or_Category</t>
  </si>
  <si>
    <t>Market_Channel</t>
  </si>
  <si>
    <t>Actual_Demand</t>
  </si>
  <si>
    <t>Historical_Forecast</t>
  </si>
  <si>
    <t>Price</t>
  </si>
  <si>
    <t>Promo_Flag</t>
  </si>
  <si>
    <t>Promo_Depth</t>
  </si>
  <si>
    <t>Event_Flag</t>
  </si>
  <si>
    <t>Event_Name</t>
  </si>
  <si>
    <t>Distribution_Points</t>
  </si>
  <si>
    <t>Stockout_Flag</t>
  </si>
  <si>
    <t>Exceptional_Event</t>
  </si>
  <si>
    <t>Data_Split</t>
  </si>
  <si>
    <t>Dataset_Label</t>
  </si>
  <si>
    <t>Falak Extreme Basmati Rice 5 kg</t>
  </si>
  <si>
    <t>Pakistan domestic retail</t>
  </si>
  <si>
    <t>Train</t>
  </si>
  <si>
    <t>Ramadan stocking</t>
  </si>
  <si>
    <t>Ramadan stocking; Ramadan</t>
  </si>
  <si>
    <t>Ramadan</t>
  </si>
  <si>
    <t>Ramadan; Eid-ul-Fitr</t>
  </si>
  <si>
    <t>Eid-ul-Fitr</t>
  </si>
  <si>
    <t>Eid-ul-Adha</t>
  </si>
  <si>
    <t>Illustrative competitor discount campaign</t>
  </si>
  <si>
    <t>Illustrative retailer display campaign</t>
  </si>
  <si>
    <t>Illustrative packaging supply delay</t>
  </si>
  <si>
    <t>Holdout</t>
  </si>
  <si>
    <t>Illustrative transport disruption</t>
  </si>
  <si>
    <t>Data dictionary</t>
  </si>
  <si>
    <t>Field</t>
  </si>
  <si>
    <t>Definition</t>
  </si>
  <si>
    <t>Unit / type</t>
  </si>
  <si>
    <t>Real / assumed / synthetic</t>
  </si>
  <si>
    <t>Source logic / synthetic assumption</t>
  </si>
  <si>
    <t>Why included</t>
  </si>
  <si>
    <t>Monday starting each seven-day sales week</t>
  </si>
  <si>
    <t>Date</t>
  </si>
  <si>
    <t>Synthetic structure</t>
  </si>
  <si>
    <t>2023-10-02 to 2026-09-21, without gaps</t>
  </si>
  <si>
    <t>Chronological forecasting index</t>
  </si>
  <si>
    <t>Selected variant and pack size</t>
  </si>
  <si>
    <t>Text</t>
  </si>
  <si>
    <t>Real product; selected scope</t>
  </si>
  <si>
    <t>One consistent forecast object</t>
  </si>
  <si>
    <t>Aggregate market covered by the series</t>
  </si>
  <si>
    <t>Assumed scope</t>
  </si>
  <si>
    <t>Pakistan domestic retail; no exports or foodservice</t>
  </si>
  <si>
    <t>Avoid mixing demand populations</t>
  </si>
  <si>
    <t>Recorded weekly retail sales after availability constraints</t>
  </si>
  <si>
    <t>5 kg packs/week</t>
  </si>
  <si>
    <t>Synthetic</t>
  </si>
  <si>
    <t>Simulated base, drivers, shocks and noise; not unconstrained demand</t>
  </si>
  <si>
    <t>Forecast target; diagnose stockout censorship</t>
  </si>
  <si>
    <t>Illustrative forecast issued before each sales week</t>
  </si>
  <si>
    <t>Prior outlet/price inputs plus scheduled promo/calendar flags; no current or future sales used</t>
  </si>
  <si>
    <t>Historical error-metric practice; separate from holdout model forecasts</t>
  </si>
  <si>
    <t>Regular shelf price before the promotion discount</t>
  </si>
  <si>
    <t>PKR/5 kg pack</t>
  </si>
  <si>
    <t>Synthetic; anchored to observed price</t>
  </si>
  <si>
    <t>Eight multi-week price levels; current observed regular price PKR 2,865</t>
  </si>
  <si>
    <t>Price association, distinct from promotional mechanics</t>
  </si>
  <si>
    <t>Promotion scheduled in the week</t>
  </si>
  <si>
    <t>0 or 1</t>
  </si>
  <si>
    <t>Three promotional weeks in each 13-week block</t>
  </si>
  <si>
    <t>Promotion indicator for regression</t>
  </si>
  <si>
    <t>Discount as a proportion of the regular shelf price</t>
  </si>
  <si>
    <t>Decimal fraction</t>
  </si>
  <si>
    <t>0.05 means 5%; zero outside promotion weeks</t>
  </si>
  <si>
    <t>Variable promotional intensity</t>
  </si>
  <si>
    <t>Week overlaps a defined Ramadan/Eid demand window</t>
  </si>
  <si>
    <t>Calendar-grounded mapping; assumed effect</t>
  </si>
  <si>
    <t>Ramadan begins minus 7 days through Eid-ul-Fitr plus 2 days; Eid-ul-Adha minus 6 through plus 2 days</t>
  </si>
  <si>
    <t>Moving religious calendar, not a fixed 52-week repeat</t>
  </si>
  <si>
    <t>Calendar window or windows present in the week</t>
  </si>
  <si>
    <t>Text; blank otherwise</t>
  </si>
  <si>
    <t>Calendar-grounded mapping</t>
  </si>
  <si>
    <t>Ramadan stocking, Ramadan, Eid-ul-Fitr or Eid-ul-Adha</t>
  </si>
  <si>
    <t>Explain and annotate calendar effects</t>
  </si>
  <si>
    <t>Active outlets carrying this SKU during the week</t>
  </si>
  <si>
    <t>Number of outlets</t>
  </si>
  <si>
    <t>Initial 1,000; assumed expansion plus local variation, independent of promotions</t>
  </si>
  <si>
    <t>Additional driver: wider availability can support sales</t>
  </si>
  <si>
    <t>Recorded sales are suppressed by limited stock availability</t>
  </si>
  <si>
    <t>Four weeks, within two labelled supply disruptions</t>
  </si>
  <si>
    <t>Explain sales shortfalls; realised future flags are not known forecast inputs</t>
  </si>
  <si>
    <t>Description of a one-off illustrative business shock</t>
  </si>
  <si>
    <t>Synthetic scenario</t>
  </si>
  <si>
    <t>Four two-week episodes; none asserted to have occurred at Matco</t>
  </si>
  <si>
    <t>Diagnose abnormal observations and large misses</t>
  </si>
  <si>
    <t>Predefined modelling/evaluation partition</t>
  </si>
  <si>
    <t>Train or Holdout</t>
  </si>
  <si>
    <t>Analytical design</t>
  </si>
  <si>
    <t>First 144 weeks Train, final 12 Holdout</t>
  </si>
  <si>
    <t>Prevent fitting to final evaluation actuals</t>
  </si>
  <si>
    <t>Required disclosure attached to every CSV record</t>
  </si>
  <si>
    <t>Academic disclosure</t>
  </si>
  <si>
    <t>Exact Section 4.2 label with company name filled in</t>
  </si>
  <si>
    <t>Preserve synthetic-data transparency when rows are copied</t>
  </si>
  <si>
    <t>Assumptions and calibration</t>
  </si>
  <si>
    <t>Starting weekly sales are centred on an assumed 5,000 packs, equivalent to 25 tonnes, using 1,000 illustrative retail outlets selling five packs each per week. A modest 2% annual underlying trend and gradual outlet expansion are assumed for this SKU, while allowing price increases to offset part of the growth. Calendar-grounded Ramadan stocking and Eid shopping windows create brief peaks, with a smaller lift during the middle of Ramadan. Regular shelf prices change in multi-week blocks from PKR 2,400 to PKR 2,865, and the assumed price response is modest and varies by week. Promotions run in about 23% of weeks with 5–12% discounts and an imperfect 10–40% demand lift, while ordinary weekly noise has an approximate 7.5% scale. Distribution_Points is included because wider retail availability can support higher total pack sales, and four labelled two-week shocks illustrate competitor discounts, retailer displays, packaging delays and transport disruption. This dataset does not reproduce Matco's actual SKU sales, distributor inventories, costs, capacities or lost demand, and its simulated relationships cannot establish real-world causation.</t>
  </si>
  <si>
    <t>Element</t>
  </si>
  <si>
    <t>Documented value / method</t>
  </si>
  <si>
    <t>Status / interpretation</t>
  </si>
  <si>
    <t>Decision</t>
  </si>
  <si>
    <t>Supply 5 kg packs over a 12-week horizon; determine packing and inventory commitments</t>
  </si>
  <si>
    <t>Selected project scope</t>
  </si>
  <si>
    <t>Demand unit</t>
  </si>
  <si>
    <t>One unit = one 5 kg pack; packs × 5 / 1,000 = tonnes</t>
  </si>
  <si>
    <t>Defined conversion</t>
  </si>
  <si>
    <t>Demand level</t>
  </si>
  <si>
    <t>5,000 baseline packs/week; 1,000 outlets × 5 packs</t>
  </si>
  <si>
    <t>Assumed; not disclosed SKU volume</t>
  </si>
  <si>
    <t>Company revenue calibration</t>
  </si>
  <si>
    <t>FY2026 consolidated sales approximately PKR 23.84671 billion</t>
  </si>
  <si>
    <t>Reported company-wide figure, not SKU revenue</t>
  </si>
  <si>
    <t>Scale cross-check</t>
  </si>
  <si>
    <t>5,000 × 52 × PKR 2,800 = PKR 728 million retail value before trend, events and discounts</t>
  </si>
  <si>
    <t>Rough scale check only; retail value is not Matco net sales</t>
  </si>
  <si>
    <t>Revenue comparability</t>
  </si>
  <si>
    <t>PSX standalone sales differ from consolidated sales; use the consolidated benchmark consistently</t>
  </si>
  <si>
    <t>No inference of SKU market share from company revenue</t>
  </si>
  <si>
    <t>Observed retail price</t>
  </si>
  <si>
    <t>PKR 2,800 offer / PKR 2,865 regular price, observed 2026-09-30</t>
  </si>
  <si>
    <t>Falak official online store; snapshot, not a national average</t>
  </si>
  <si>
    <t>Historical Price</t>
  </si>
  <si>
    <t>2,400; 2,500; 2,600; 2,550; 2,650; 2,750; 2,800; 2,865 PKR</t>
  </si>
  <si>
    <t>All historical prices are synthetic; multi-week blocks</t>
  </si>
  <si>
    <t>Underlying growth</t>
  </si>
  <si>
    <t>2% per year, before coverage, prices and other drivers</t>
  </si>
  <si>
    <t>Assumed SKU trend, not inferred from company growth</t>
  </si>
  <si>
    <t>Price effect</t>
  </si>
  <si>
    <t>Elasticity varies approximately -0.35 to -0.50 in the simulation</t>
  </si>
  <si>
    <t>Built-in illustrative response; regression may estimate differently</t>
  </si>
  <si>
    <t>Promo schedule</t>
  </si>
  <si>
    <t>36 of 156 weeks (23.1%); 5%, 8%, 10% or 12% discounts</t>
  </si>
  <si>
    <t>Synthetic; some overlap with events and some do not</t>
  </si>
  <si>
    <t>Promo uplift</t>
  </si>
  <si>
    <t>10–40% of the non-promotional baseline, varying by discount and week</t>
  </si>
  <si>
    <t>The net observed uplift may be masked by noise or stockouts</t>
  </si>
  <si>
    <t>Calendar effect</t>
  </si>
  <si>
    <t>Daily exposure aggregated to weeks; short stocking/Eid peaks, smaller mid-Ramadan lift</t>
  </si>
  <si>
    <t>Real dates; assumed shopping windows and demand effects</t>
  </si>
  <si>
    <t>Distribution driver</t>
  </si>
  <si>
    <t>Outlet count expands in steps with independent local changes</t>
  </si>
  <si>
    <t>Synthetic; stockout flag handles availability constraints separately</t>
  </si>
  <si>
    <t>Weekly noise</t>
  </si>
  <si>
    <t>Multiplicative lognormal noise with approximately 7.5% scale</t>
  </si>
  <si>
    <t>Imperfect relationships; fixed seed 3532026</t>
  </si>
  <si>
    <t>Competitor campaign</t>
  </si>
  <si>
    <t>2024-08-05 and 2024-08-12; lower sales</t>
  </si>
  <si>
    <t>Illustrative shock; not actual Matco history</t>
  </si>
  <si>
    <t>Retailer display campaign</t>
  </si>
  <si>
    <t>2025-05-12 and 2025-05-19; higher sales</t>
  </si>
  <si>
    <t>Packaging delay</t>
  </si>
  <si>
    <t>2026-03-30 and 2026-04-06; lower sales and Stockout_Flag=1</t>
  </si>
  <si>
    <t>Transport disruption</t>
  </si>
  <si>
    <t>2026-08-24 and 2026-08-31; lower sales and Stockout_Flag=1</t>
  </si>
  <si>
    <t>Illustrative shock in holdout; not actual Matco history</t>
  </si>
  <si>
    <t>Training period</t>
  </si>
  <si>
    <t>2023-10-02 to 2026-06-29: 144 weeks</t>
  </si>
  <si>
    <t>Fit methods and regression using these actuals only</t>
  </si>
  <si>
    <t>Holdout period</t>
  </si>
  <si>
    <t>2026-07-06 to 2026-09-21: 12 weeks</t>
  </si>
  <si>
    <t>Forecast from 2026-07-05, then reveal actuals to score</t>
  </si>
  <si>
    <t>Holdout driver treatment</t>
  </si>
  <si>
    <t>Calendar and planned promo/price may be known; realised outlets and stockouts require assumptions</t>
  </si>
  <si>
    <t>Do not feed observed holdout outcomes into a forward forecast</t>
  </si>
  <si>
    <t>Historical_Forecast usage</t>
  </si>
  <si>
    <t>Synthetic weekly prior forecasts use no current or future Actual_Demand</t>
  </si>
  <si>
    <t>Do not substitute this series for common-origin model evaluation</t>
  </si>
  <si>
    <t>Validation meaning</t>
  </si>
  <si>
    <t>An unseen final block acts like a practice exam: forecasts are scored only after fitting</t>
  </si>
  <si>
    <t>With synthetic data, this tests the pipeline, not real company forecasting accuracy</t>
  </si>
  <si>
    <t>Future forecast origin</t>
  </si>
  <si>
    <t>After the week ending 2026-09-27; forward period 2026-09-28 to 2026-12-20</t>
  </si>
  <si>
    <t>Academic planning origin; forward forecasts will be created in the next stage</t>
  </si>
  <si>
    <t>Freeze rule</t>
  </si>
  <si>
    <t>CSV is frozen before model comparison; keep seed and SHA-256 below</t>
  </si>
  <si>
    <t>Do not regenerate to improve model scores</t>
  </si>
  <si>
    <t>CSV SHA-256</t>
  </si>
  <si>
    <t>b94ac87db74da82ec4360aef446667e8a1478c87497c226f32728fae85d79a1d</t>
  </si>
  <si>
    <t>Detect changes to the frozen dataset</t>
  </si>
  <si>
    <t>CSV reading</t>
  </si>
  <si>
    <t>Standard CSV header on row 1; pandas.read_csv(filename), parse_dates=[Week_Start_Date]</t>
  </si>
  <si>
    <t>Promo_Depth is a fraction; Dataset_Label carries disclosure on every record</t>
  </si>
  <si>
    <t>Limitations</t>
  </si>
  <si>
    <t>Retail sales can understate demand during stockouts; no real unit costs, capacities or lead times supplied</t>
  </si>
  <si>
    <t>Operational assumptions will be documented before decision stress tests</t>
  </si>
  <si>
    <t>Source</t>
  </si>
  <si>
    <t>URL / reference</t>
  </si>
  <si>
    <t>Evidence used</t>
  </si>
  <si>
    <t>Falak product and price</t>
  </si>
  <si>
    <t>https://estore.falakrice.com/collections/basmati-rice/products/extreme-basmati-rice-5kg-free-recipe-mixes</t>
  </si>
  <si>
    <t>Observed 2026-09-30; 1121 basmati, 5 kg, PKR 2,865/2,800</t>
  </si>
  <si>
    <t>FY2026 consolidated results</t>
  </si>
  <si>
    <t>https://www.marketscreener.com/news/matco-foods-limited-reports-earnings-results-for-the-full-year-ended-june-30-2026-ce7858dfd08bf025</t>
  </si>
  <si>
    <t>Report dated 2026-08-28; consolidated sales PKR 23,846.71 million</t>
  </si>
  <si>
    <t>PSX company / fiscal year</t>
  </si>
  <si>
    <t>https://dps.psx.com.pk/company/MFL</t>
  </si>
  <si>
    <t>MFL; June fiscal year-end; standalone figures differ from group results</t>
  </si>
  <si>
    <t>FY2026 issuer filing</t>
  </si>
  <si>
    <t>https://dps.psx.com.pk/download/document/281910.pdf</t>
  </si>
  <si>
    <t>Filed 2026-08-28; scanned document located, text not independently extracted</t>
  </si>
  <si>
    <t>2024 Ramadan start</t>
  </si>
  <si>
    <t>https://www.app.com.pk/domestic/moon-sighted-ist-ramazan-tomorrow/</t>
  </si>
  <si>
    <t>First fast 2024-03-12</t>
  </si>
  <si>
    <t>2024 Eid-ul-Fitr</t>
  </si>
  <si>
    <t>https://www.timeanddate.com/holidays/pakistan/2024?hol=139465049</t>
  </si>
  <si>
    <t>2024-04-10</t>
  </si>
  <si>
    <t>2024 Eid-ul-Adha</t>
  </si>
  <si>
    <t>https://www.app.com.pk/domestic/dhul-hijjah-crescent-sighted-eid-ul-adha-to-be-celebrated-on-june-17/</t>
  </si>
  <si>
    <t>2024-06-17</t>
  </si>
  <si>
    <t>2025 Ramadan start</t>
  </si>
  <si>
    <t>https://www.radio.gov.pk/01-03-2025/holy-month-of-ramazan-commencing-in-pakistan-from-tomorrow</t>
  </si>
  <si>
    <t>First fast 2025-03-02</t>
  </si>
  <si>
    <t>2025 Eid-ul-Fitr</t>
  </si>
  <si>
    <t>https://radio.gov.pk/30-03-2025/shawwal-moon-sighted-eid-to-be-celebrated-tomorrow</t>
  </si>
  <si>
    <t>2025-03-31</t>
  </si>
  <si>
    <t>2025 Eid-ul-Adha</t>
  </si>
  <si>
    <t>https://www.radio.gov.pk/27-05-2025/crescent-not-sighted-eid-ul-azha-on-june-7</t>
  </si>
  <si>
    <t>2025-06-07</t>
  </si>
  <si>
    <t>2026 Ramadan start</t>
  </si>
  <si>
    <t>https://www.app.com.pk/national/ramazan-moon-sighted-ist-fast-on-february-19-in-pakistan-khabeer-azad/</t>
  </si>
  <si>
    <t>First fast 2026-02-19</t>
  </si>
  <si>
    <t>2026 Eid-ul-Fitr</t>
  </si>
  <si>
    <t>https://www.app.com.pk/national/eid-ul-fitr-on-saturday-as-shawwal-moon-not-sighted/</t>
  </si>
  <si>
    <t>2026-03-21</t>
  </si>
  <si>
    <t>2026 Eid-ul-Adha</t>
  </si>
  <si>
    <t>https://www.radio.gov.pk/17-05-2026/moon-sighted-eid-ul-adha-to-be-celebrated-on-27-may</t>
  </si>
  <si>
    <t>2026-05-27</t>
  </si>
  <si>
    <t>Assignment</t>
  </si>
  <si>
    <t>Portfolio Milestone 1.pdf, Sections 4.1–4.4 and 9</t>
  </si>
  <si>
    <t>Master synthesis prompt and 12-week chronological holdout</t>
  </si>
  <si>
    <t>Section 4.2 master prompt, completed for Matco Foods</t>
  </si>
  <si>
    <t>I am a BBA student in a Supply Chain Analytics course. I have selected Matco Foods Limited,</t>
  </si>
  <si>
    <t>a company listed on the Pakistan Stock Exchange, as my company for a semester project.</t>
  </si>
  <si>
    <t>I need you to generate a SYNTHETIC, illustrative weekly demand dataset for ONE of their</t>
  </si>
  <si>
    <t>products, so I can practice forecasting, regression, and validation.</t>
  </si>
  <si>
    <t>PRODUCT / FORECAST OBJECT: Falak Extreme Basmati Rice, 5 kg packs, Pakistan domestic retail</t>
  </si>
  <si>
    <t>REAL CONTEXT TO CALIBRATE FROM (do not invent different real facts about the company):</t>
  </si>
  <si>
    <t>- Company's most recently disclosed annual revenue: approximately PKR 23.84671 billion consolidated sales for the year ended June 30, 2026 (reported August 28, 2026)</t>
  </si>
  <si>
    <t>- Broad industry/sector: Food processing / branded packaged rice (FMCG)</t>
  </si>
  <si>
    <t>- Company's fiscal year-end: June 30</t>
  </si>
  <si>
    <t>GENERATE 104 TO 156 WEEKLY OBSERVATIONS WITH THESE COLUMNS:</t>
  </si>
  <si>
    <t>- Week_Start_Date (consistent weekly dates)</t>
  </si>
  <si>
    <t>- Actual_Demand (units sold or ordered — this is the forecast target)</t>
  </si>
  <si>
    <t>- Historical_Forecast (a plausible prior forecast series, for error-metric practice)</t>
  </si>
  <si>
    <t>- Price (numeric, varying over time — not flat)</t>
  </si>
  <si>
    <t>- Promo_Flag (0/1) and Promo_Depth (% discount when active)</t>
  </si>
  <si>
    <t>- Event_Flag (0/1) tagged to a calendar event appropriate to my sector — for FMCG or</t>
  </si>
  <si>
    <t>food, use Ramadan/Eid; for fashion, use a seasonal launch/markdown window; for</t>
  </si>
  <si>
    <t>cement/construction, use the spring-summer building season; for pharma, use a</t>
  </si>
  <si>
    <t>disease-season or regulatory-driven spike; choose the closest fit for my sector</t>
  </si>
  <si>
    <t>- One additional driver relevant to my sector: Temperature, Distribution_Points,</t>
  </si>
  <si>
    <t>Marketing_Spend, Competitor_Activity, or Economic_Index — pick the most plausible one</t>
  </si>
  <si>
    <t>and justify your choice in one sentence</t>
  </si>
  <si>
    <t>- Stockout_Flag (0/1) for weeks where availability constrained real demand</t>
  </si>
  <si>
    <t>- Exceptional_Event (text, blank in most weeks) — flag 2 to 4 one-off shocks such as a</t>
  </si>
  <si>
    <t>competitor promotion, a supply disruption, a weather event, or a viral marketing moment</t>
  </si>
  <si>
    <t>THE DATA MUST HAVE THESE REALISTIC CHARACTERISTICS, NOT RANDOM NOISE:</t>
  </si>
  <si>
    <t>1. A believable base LEVEL and TREND (growing, flat, or declining) appropriate to the</t>
  </si>
  <si>
    <t>sector — state your reasoning in one sentence</t>
  </si>
  <si>
    <t>2. SEASONALITY appropriate to the sector, as specified above for Event_Flag</t>
  </si>
  <si>
    <t>3. A PRICE effect: weeks with higher price should show a modest, imperfect demand</t>
  </si>
  <si>
    <t>reduction — not a mechanical, identical relationship every time</t>
  </si>
  <si>
    <t>4. A PROMOTION effect: promotional weeks should show a visible demand lift (10-40%</t>
  </si>
  <si>
    <t>above baseline), varying in size week to week — not the exact same lift every time</t>
  </si>
  <si>
    <t>5. Natural WEEK-TO-WEEK NOISE — real demand is never a smooth curve</t>
  </si>
  <si>
    <t>6. The 2-4 EXCEPTIONAL EVENTS should each visibly disrupt demand for 1-2 weeks, then</t>
  </si>
  <si>
    <t>the series should return to its normal pattern</t>
  </si>
  <si>
    <t>7. Ensure NO relationship is deterministic. A promotion must not increase demand by</t>
  </si>
  <si>
    <t>exactly the same amount every single time it runs.</t>
  </si>
  <si>
    <t>AFTER THE TABLE, WRITE:</t>
  </si>
  <si>
    <t>1. A short "Assumptions" paragraph (5-7 sentences) explaining the starting demand level,</t>
  </si>
  <si>
    <t>the trend, the seasonal pattern, the price and promotion effect sizes you built in,</t>
  </si>
  <si>
    <t>the additional driver you chose and why, and what this dataset does NOT capture.</t>
  </si>
  <si>
    <t>2. A Data Dictionary table: Field | Definition | Unit | Real / Assumed / Synthetic |</t>
  </si>
  <si>
    <t>Why Included.</t>
  </si>
  <si>
    <t>OUTPUT the data as a table I can copy directly into Excel or a CSV file.</t>
  </si>
  <si>
    <t>MANDATORY LABELING — include this exact sentence at the very top of your response,</t>
  </si>
  <si>
    <t>before anything else:</t>
  </si>
  <si>
    <t>"Company-Calibrated Synthetic Dataset for Academic Analysis — illustrative figures,</t>
  </si>
  <si>
    <t>calibrated to Matco Foods Limited's disclosed scale, not actual company records."</t>
  </si>
  <si>
    <t/>
  </si>
  <si>
    <t>ADDITIONAL PRODUCT-SPECIFIC INSTRUCTIONS AND AGREED ASSUMPTIONS</t>
  </si>
  <si>
    <t>Generate exactly 156 Monday-start weeks from 2023-10-02 to 2026-09-21. One unit is one 5 kg pack. Use 5,000 baseline weekly packs as an assumption, justified by 1,000 assumed outlets selling five packs each.</t>
  </si>
  <si>
    <t>Choose Distribution_Points as the additional driver: wider retail availability can support higher total pack sales. Include Product_or_Category, Market_Channel, Event_Name and Data_Split so product, scope, calendar labels and the validation split are explicit.</t>
  </si>
  <si>
    <t>Use the documented Pakistan Ramadan/Eid dates and aggregate daily shopping windows to weeks. Use short stocking/Eid peaks and a smaller middle-Ramadan lift. Do not use an arbitrary fixed week each year.</t>
  </si>
  <si>
    <t>Define Price as regular shelf price before promotional discount. The historical price path is assumed, anchored to the current official regular price of PKR 2,865 and offer price of PKR 2,800. Store Promo_Depth as a fraction: 0.10 = 10%.</t>
  </si>
  <si>
    <t>Use a modest 2% annual underlying trend, stepwise outlet expansion, 36 promotional weeks with 5–12% discounts, imperfect 10–40% promotion lifts and about 7.5% ordinary noise. Allow observed net effects to differ because other drivers and stockouts can mask uplift.</t>
  </si>
  <si>
    <t>Create four labelled two-week illustrative shocks: competitor discounts, retailer displays, packaging delay and transport disruption. Mark supply-constrained weeks with Stockout_Flag. Never present these as actual Matco events.</t>
  </si>
  <si>
    <t>Historical_Forecast must be a plausible prior planning series that uses no current or future Actual_Demand. Label the first 144 weeks Train and final 12 Holdout; do not fit forecasting models yet.</t>
  </si>
  <si>
    <t>Attach the mandatory disclosure as Dataset_Label to every CSV record. Freeze the output before model comparison. Record the random seed and a CSV hash. The company revenue is a scale benchmark only, and it cannot establish actual SKU demand or company net revenue from retail value.</t>
  </si>
  <si>
    <t>Max</t>
  </si>
  <si>
    <t>Min</t>
  </si>
  <si>
    <t>Range</t>
  </si>
  <si>
    <t>STD DEV</t>
  </si>
  <si>
    <t xml:space="preserve">Mean </t>
  </si>
  <si>
    <t>CV</t>
  </si>
  <si>
    <t xml:space="preserve">Satistic </t>
  </si>
  <si>
    <t xml:space="preserve">Result </t>
  </si>
  <si>
    <t>`</t>
  </si>
  <si>
    <t xml:space="preserve">Across the 144 weeks, the demand shows a mean of around a 5961 units sold, a stand deviation of 901 units leavding to a coeffecient of variation of 15.8%. Overall we can see that mostly demand flcutautes between 8000 to 500 units with ocasional exceptional events leadiing to the high of 9044 (Ramadan) and the packaging delay leading to the low of 3974 units, Eitherways, plotting the trendline shows that despite the demand fluctations , the trand itself is mostly stable and is not declining or rising which will assist with forecasting. If i had to describe the demand pattern i would say it is very promotion sensitive as well as for events such as Ramadan and Eid. Other than the demand is stable year round. </t>
  </si>
  <si>
    <t>Metric</t>
  </si>
  <si>
    <t>Calculation and result</t>
  </si>
  <si>
    <t>Managerial interpretation</t>
  </si>
  <si>
    <t>Error</t>
  </si>
  <si>
    <t>Each period’s actual minus forecast; detailed below</t>
  </si>
  <si>
    <t>The forecast overestimated demand in 8 of 12 weeks, creating a recurring risk of excess inventory.</t>
  </si>
  <si>
    <t>MAD / MAE</t>
  </si>
  <si>
    <r>
      <t xml:space="preserve">Σ|Error| ÷ 12 = </t>
    </r>
    <r>
      <rPr>
        <b/>
        <sz val="11"/>
        <rFont val="Carlito"/>
      </rPr>
      <t>481.50 packs</t>
    </r>
  </si>
  <si>
    <t>The forecast typically misses weekly demand by about 482 packs; inventory and replenishment decisions should account for this uncertainty.</t>
  </si>
  <si>
    <t>MAPE</t>
  </si>
  <si>
    <r>
      <t xml:space="preserve">Average of |Error| ÷ Actual × 100 = </t>
    </r>
    <r>
      <rPr>
        <b/>
        <sz val="11"/>
        <rFont val="Carlito"/>
      </rPr>
      <t>9.51%</t>
    </r>
  </si>
  <si>
    <t>The forecast misses demand by about 9.51% on average; the largest individual miss occurred during the labelled transport disruption. Actual demand never approaches zero here, but zero actuals make MAPE undefined and near-zero actuals can inflate it.</t>
  </si>
  <si>
    <t>RMSE</t>
  </si>
  <si>
    <r>
      <t xml:space="preserve">√[ΣError² ÷ 12] = </t>
    </r>
    <r>
      <rPr>
        <b/>
        <sz val="11"/>
        <rFont val="Carlito"/>
      </rPr>
      <t>612.55 packs</t>
    </r>
  </si>
  <si>
    <t>Large misses raise RMSE above MAE, so managers should investigate exceptional weeks alongside typical forecast performance.</t>
  </si>
  <si>
    <t>WAPE</t>
  </si>
  <si>
    <r>
      <t xml:space="preserve">5,778 ÷ 64,776 × 100 = </t>
    </r>
    <r>
      <rPr>
        <b/>
        <sz val="11"/>
        <rFont val="Carlito"/>
      </rPr>
      <t>8.92%</t>
    </r>
  </si>
  <si>
    <t>Total absolute forecast error equals 8.92% of actual volume, indicating the scale of mismatch across the validation window.</t>
  </si>
  <si>
    <t>Bias / MFE</t>
  </si>
  <si>
    <r>
      <t xml:space="preserve">ΣError ÷ 12 = </t>
    </r>
    <r>
      <rPr>
        <b/>
        <sz val="11"/>
        <rFont val="Carlito"/>
      </rPr>
      <t>−243.83 packs</t>
    </r>
  </si>
  <si>
    <t>The forecast overestimates demand by about 244 packs per week on average, which could lead to excess stock if used directly for replenishment.</t>
  </si>
  <si>
    <t>RSFE</t>
  </si>
  <si>
    <r>
      <t xml:space="preserve">ΣError = </t>
    </r>
    <r>
      <rPr>
        <b/>
        <sz val="11"/>
        <rFont val="Carlito"/>
      </rPr>
      <t>−2,926 packs</t>
    </r>
  </si>
  <si>
    <t>Total forecast volume exceeded actual demand by 2,926 packs across the window, indicating cumulative overforecasting.</t>
  </si>
  <si>
    <t>Tracking Signal</t>
  </si>
  <si>
    <r>
      <t xml:space="preserve">RSFE ÷ MAD = −2,926 ÷ 481.50 = </t>
    </r>
    <r>
      <rPr>
        <b/>
        <sz val="11"/>
        <rFont val="Carlito"/>
      </rPr>
      <t>−6.08</t>
    </r>
  </si>
  <si>
    <t>The negative signal indicates overforecasting; it exceeds a commonly used ±4 investigation threshold, warranting review of forecast bias and disruption effects.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</si>
</sst>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72" formatCode="0.0%"/>
  </numFmts>
  <fonts count="10">
    <font>
      <sz val="11"/>
      <name val="Carlito"/>
    </font>
    <font>
      <sz val="10"/>
      <color rgb="FF263244"/>
      <name val="Arial"/>
    </font>
    <font>
      <i/>
      <sz val="10"/>
      <color rgb="FF6B551F"/>
      <name val="Arial"/>
    </font>
    <font>
      <b/>
      <sz val="14"/>
      <color rgb="FF263244"/>
      <name val="Arial"/>
    </font>
    <font>
      <b/>
      <sz val="10"/>
      <color rgb="FFFFFFFF"/>
      <name val="Arial"/>
    </font>
    <font>
      <i/>
      <sz val="9"/>
      <color rgb="FF6B551F"/>
      <name val="Arial"/>
    </font>
    <font>
      <b/>
      <sz val="10"/>
      <color rgb="FF263244"/>
      <name val="Arial"/>
    </font>
    <font>
      <sz val="11"/>
      <name val="Carlito"/>
    </font>
    <font>
      <sz val="8"/>
      <name val="Carlito"/>
    </font>
    <font>
      <b/>
      <sz val="11"/>
      <name val="Carlito"/>
    </font>
  </fonts>
  <fills count="4">
    <fill>
      <patternFill patternType="none"/>
    </fill>
    <fill>
      <patternFill patternType="gray125"/>
    </fill>
    <fill>
      <patternFill patternType="solid">
        <fgColor rgb="FF1E2D42"/>
      </patternFill>
    </fill>
    <fill>
      <patternFill patternType="solid">
        <fgColor rgb="FFF6F1E6"/>
      </patternFill>
    </fill>
  </fills>
  <borders count="1">
    <border>
      <left/>
      <right/>
      <top/>
      <bottom/>
      <diagonal/>
    </border>
  </borders>
  <cellStyleXfs count="2">
    <xf numFmtId="0" fontId="0" fillId="0" borderId="0"/>
    <xf numFmtId="9" fontId="7" fillId="0" borderId="0" applyFont="0" applyFill="0" applyBorder="0" applyAlignment="0" applyProtection="0"/>
  </cellStyleXfs>
  <cellXfs count="20">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xf>
    <xf numFmtId="0" fontId="4" fillId="2" borderId="0" xfId="0" applyFont="1" applyFill="1" applyAlignment="1">
      <alignment horizontal="center" vertical="center" wrapText="1"/>
    </xf>
    <xf numFmtId="164" fontId="1" fillId="0" borderId="0" xfId="0" applyNumberFormat="1" applyFont="1" applyAlignment="1">
      <alignment vertical="center"/>
    </xf>
    <xf numFmtId="3" fontId="1" fillId="0" borderId="0" xfId="0" applyNumberFormat="1" applyFont="1" applyAlignment="1">
      <alignment vertical="center"/>
    </xf>
    <xf numFmtId="9" fontId="1" fillId="0" borderId="0" xfId="0" applyNumberFormat="1" applyFont="1" applyAlignment="1">
      <alignment vertical="center"/>
    </xf>
    <xf numFmtId="1" fontId="1" fillId="0" borderId="0" xfId="0" applyNumberFormat="1" applyFont="1" applyAlignment="1">
      <alignment vertical="center"/>
    </xf>
    <xf numFmtId="0" fontId="5" fillId="0" borderId="0" xfId="0" applyFont="1" applyAlignment="1">
      <alignment vertical="center" wrapText="1"/>
    </xf>
    <xf numFmtId="0" fontId="6" fillId="0" borderId="0" xfId="0" applyFont="1" applyAlignment="1">
      <alignment vertical="center" wrapText="1"/>
    </xf>
    <xf numFmtId="0" fontId="2" fillId="0" borderId="0" xfId="0" applyFont="1" applyAlignment="1">
      <alignment vertical="center" wrapText="1"/>
    </xf>
    <xf numFmtId="0" fontId="1" fillId="3" borderId="0" xfId="0" applyFont="1" applyFill="1" applyAlignment="1">
      <alignment vertical="center" wrapText="1"/>
    </xf>
    <xf numFmtId="1" fontId="0" fillId="0" borderId="0" xfId="0" applyNumberFormat="1"/>
    <xf numFmtId="172" fontId="0" fillId="0" borderId="0" xfId="1" applyNumberFormat="1" applyFont="1"/>
    <xf numFmtId="0" fontId="0" fillId="0" borderId="0" xfId="0" applyAlignment="1">
      <alignment horizontal="left" vertical="top" wrapText="1"/>
    </xf>
    <xf numFmtId="0" fontId="9" fillId="0" borderId="0" xfId="0" applyFont="1" applyAlignment="1">
      <alignment horizontal="center" vertical="center" wrapText="1"/>
    </xf>
    <xf numFmtId="0" fontId="0" fillId="0" borderId="0" xfId="0" applyAlignment="1">
      <alignment vertical="center" wrapText="1"/>
    </xf>
    <xf numFmtId="0" fontId="9" fillId="0" borderId="0" xfId="0" applyFont="1" applyAlignment="1">
      <alignment vertical="center" wrapText="1"/>
    </xf>
  </cellXfs>
  <cellStyles count="2">
    <cellStyle name="Normal" xfId="0" builtinId="0"/>
    <cellStyle name="Percent" xfId="1" builtinId="5"/>
  </cellStyles>
  <dxfs count="5">
    <dxf>
      <font>
        <b/>
        <i val="0"/>
        <strike val="0"/>
        <condense val="0"/>
        <extend val="0"/>
        <outline val="0"/>
        <shadow val="0"/>
        <u val="none"/>
        <vertAlign val="baseline"/>
        <sz val="11"/>
        <color auto="1"/>
        <name val="Carlito"/>
        <scheme val="none"/>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auto="1"/>
        <name val="Carlito"/>
        <scheme val="none"/>
      </font>
      <alignment horizontal="general" vertical="center" textRotation="0" wrapText="1" indent="0" justifyLastLine="0" shrinkToFit="0" readingOrder="0"/>
    </dxf>
    <dxf>
      <font>
        <b/>
      </font>
      <fill>
        <patternFill patternType="solid">
          <bgColor rgb="FFFFF0C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lotArea>
      <c:layout>
        <c:manualLayout>
          <c:layoutTarget val="inner"/>
          <c:xMode val="edge"/>
          <c:yMode val="edge"/>
          <c:x val="5.1250298372965283E-2"/>
          <c:y val="0.19206797758942706"/>
          <c:w val="0.92524993940021949"/>
          <c:h val="0.59452315842232062"/>
        </c:manualLayout>
      </c:layout>
      <c:lineChart>
        <c:grouping val="standard"/>
        <c:varyColors val="0"/>
        <c:ser>
          <c:idx val="1"/>
          <c:order val="1"/>
          <c:tx>
            <c:strRef>
              <c:f>Dataset!$D$5</c:f>
              <c:strCache>
                <c:ptCount val="1"/>
                <c:pt idx="0">
                  <c:v>Actual_Demand</c:v>
                </c:pt>
              </c:strCache>
            </c:strRef>
          </c:tx>
          <c:spPr>
            <a:ln w="28575" cap="rnd">
              <a:solidFill>
                <a:schemeClr val="accent2"/>
              </a:solidFill>
              <a:round/>
            </a:ln>
            <a:effectLst/>
          </c:spPr>
          <c:marker>
            <c:symbol val="none"/>
          </c:marker>
          <c:cat>
            <c:strRef>
              <c:f>Dataset!$A$5:$A$161</c:f>
              <c:strCache>
                <c:ptCount val="157"/>
                <c:pt idx="0">
                  <c:v>Week_Start_Date</c:v>
                </c:pt>
                <c:pt idx="1">
                  <c:v>02-Oct-2023</c:v>
                </c:pt>
                <c:pt idx="2">
                  <c:v>09-Oct-2023</c:v>
                </c:pt>
                <c:pt idx="3">
                  <c:v>16-Oct-2023</c:v>
                </c:pt>
                <c:pt idx="4">
                  <c:v>23-Oct-2023</c:v>
                </c:pt>
                <c:pt idx="5">
                  <c:v>30-Oct-2023</c:v>
                </c:pt>
                <c:pt idx="6">
                  <c:v>06-Nov-2023</c:v>
                </c:pt>
                <c:pt idx="7">
                  <c:v>13-Nov-2023</c:v>
                </c:pt>
                <c:pt idx="8">
                  <c:v>20-Nov-2023</c:v>
                </c:pt>
                <c:pt idx="9">
                  <c:v>27-Nov-2023</c:v>
                </c:pt>
                <c:pt idx="10">
                  <c:v>04-Dec-2023</c:v>
                </c:pt>
                <c:pt idx="11">
                  <c:v>11-Dec-2023</c:v>
                </c:pt>
                <c:pt idx="12">
                  <c:v>18-Dec-2023</c:v>
                </c:pt>
                <c:pt idx="13">
                  <c:v>25-Dec-2023</c:v>
                </c:pt>
                <c:pt idx="14">
                  <c:v>01-Jan-2024</c:v>
                </c:pt>
                <c:pt idx="15">
                  <c:v>08-Jan-2024</c:v>
                </c:pt>
                <c:pt idx="16">
                  <c:v>15-Jan-2024</c:v>
                </c:pt>
                <c:pt idx="17">
                  <c:v>22-Jan-2024</c:v>
                </c:pt>
                <c:pt idx="18">
                  <c:v>29-Jan-2024</c:v>
                </c:pt>
                <c:pt idx="19">
                  <c:v>05-Feb-2024</c:v>
                </c:pt>
                <c:pt idx="20">
                  <c:v>12-Feb-2024</c:v>
                </c:pt>
                <c:pt idx="21">
                  <c:v>19-Feb-2024</c:v>
                </c:pt>
                <c:pt idx="22">
                  <c:v>26-Feb-2024</c:v>
                </c:pt>
                <c:pt idx="23">
                  <c:v>04-Mar-2024</c:v>
                </c:pt>
                <c:pt idx="24">
                  <c:v>11-Mar-2024</c:v>
                </c:pt>
                <c:pt idx="25">
                  <c:v>18-Mar-2024</c:v>
                </c:pt>
                <c:pt idx="26">
                  <c:v>25-Mar-2024</c:v>
                </c:pt>
                <c:pt idx="27">
                  <c:v>01-Apr-2024</c:v>
                </c:pt>
                <c:pt idx="28">
                  <c:v>08-Apr-2024</c:v>
                </c:pt>
                <c:pt idx="29">
                  <c:v>15-Apr-2024</c:v>
                </c:pt>
                <c:pt idx="30">
                  <c:v>22-Apr-2024</c:v>
                </c:pt>
                <c:pt idx="31">
                  <c:v>29-Apr-2024</c:v>
                </c:pt>
                <c:pt idx="32">
                  <c:v>06-May-2024</c:v>
                </c:pt>
                <c:pt idx="33">
                  <c:v>13-May-2024</c:v>
                </c:pt>
                <c:pt idx="34">
                  <c:v>20-May-2024</c:v>
                </c:pt>
                <c:pt idx="35">
                  <c:v>27-May-2024</c:v>
                </c:pt>
                <c:pt idx="36">
                  <c:v>03-Jun-2024</c:v>
                </c:pt>
                <c:pt idx="37">
                  <c:v>10-Jun-2024</c:v>
                </c:pt>
                <c:pt idx="38">
                  <c:v>17-Jun-2024</c:v>
                </c:pt>
                <c:pt idx="39">
                  <c:v>24-Jun-2024</c:v>
                </c:pt>
                <c:pt idx="40">
                  <c:v>01-Jul-2024</c:v>
                </c:pt>
                <c:pt idx="41">
                  <c:v>08-Jul-2024</c:v>
                </c:pt>
                <c:pt idx="42">
                  <c:v>15-Jul-2024</c:v>
                </c:pt>
                <c:pt idx="43">
                  <c:v>22-Jul-2024</c:v>
                </c:pt>
                <c:pt idx="44">
                  <c:v>29-Jul-2024</c:v>
                </c:pt>
                <c:pt idx="45">
                  <c:v>05-Aug-2024</c:v>
                </c:pt>
                <c:pt idx="46">
                  <c:v>12-Aug-2024</c:v>
                </c:pt>
                <c:pt idx="47">
                  <c:v>19-Aug-2024</c:v>
                </c:pt>
                <c:pt idx="48">
                  <c:v>26-Aug-2024</c:v>
                </c:pt>
                <c:pt idx="49">
                  <c:v>02-Sept-2024</c:v>
                </c:pt>
                <c:pt idx="50">
                  <c:v>09-Sept-2024</c:v>
                </c:pt>
                <c:pt idx="51">
                  <c:v>16-Sept-2024</c:v>
                </c:pt>
                <c:pt idx="52">
                  <c:v>23-Sept-2024</c:v>
                </c:pt>
                <c:pt idx="53">
                  <c:v>30-Sept-2024</c:v>
                </c:pt>
                <c:pt idx="54">
                  <c:v>07-Oct-2024</c:v>
                </c:pt>
                <c:pt idx="55">
                  <c:v>14-Oct-2024</c:v>
                </c:pt>
                <c:pt idx="56">
                  <c:v>21-Oct-2024</c:v>
                </c:pt>
                <c:pt idx="57">
                  <c:v>28-Oct-2024</c:v>
                </c:pt>
                <c:pt idx="58">
                  <c:v>04-Nov-2024</c:v>
                </c:pt>
                <c:pt idx="59">
                  <c:v>11-Nov-2024</c:v>
                </c:pt>
                <c:pt idx="60">
                  <c:v>18-Nov-2024</c:v>
                </c:pt>
                <c:pt idx="61">
                  <c:v>25-Nov-2024</c:v>
                </c:pt>
                <c:pt idx="62">
                  <c:v>02-Dec-2024</c:v>
                </c:pt>
                <c:pt idx="63">
                  <c:v>09-Dec-2024</c:v>
                </c:pt>
                <c:pt idx="64">
                  <c:v>16-Dec-2024</c:v>
                </c:pt>
                <c:pt idx="65">
                  <c:v>23-Dec-2024</c:v>
                </c:pt>
                <c:pt idx="66">
                  <c:v>30-Dec-2024</c:v>
                </c:pt>
                <c:pt idx="67">
                  <c:v>06-Jan-2025</c:v>
                </c:pt>
                <c:pt idx="68">
                  <c:v>13-Jan-2025</c:v>
                </c:pt>
                <c:pt idx="69">
                  <c:v>20-Jan-2025</c:v>
                </c:pt>
                <c:pt idx="70">
                  <c:v>27-Jan-2025</c:v>
                </c:pt>
                <c:pt idx="71">
                  <c:v>03-Feb-2025</c:v>
                </c:pt>
                <c:pt idx="72">
                  <c:v>10-Feb-2025</c:v>
                </c:pt>
                <c:pt idx="73">
                  <c:v>17-Feb-2025</c:v>
                </c:pt>
                <c:pt idx="74">
                  <c:v>24-Feb-2025</c:v>
                </c:pt>
                <c:pt idx="75">
                  <c:v>03-Mar-2025</c:v>
                </c:pt>
                <c:pt idx="76">
                  <c:v>10-Mar-2025</c:v>
                </c:pt>
                <c:pt idx="77">
                  <c:v>17-Mar-2025</c:v>
                </c:pt>
                <c:pt idx="78">
                  <c:v>24-Mar-2025</c:v>
                </c:pt>
                <c:pt idx="79">
                  <c:v>31-Mar-2025</c:v>
                </c:pt>
                <c:pt idx="80">
                  <c:v>07-Apr-2025</c:v>
                </c:pt>
                <c:pt idx="81">
                  <c:v>14-Apr-2025</c:v>
                </c:pt>
                <c:pt idx="82">
                  <c:v>21-Apr-2025</c:v>
                </c:pt>
                <c:pt idx="83">
                  <c:v>28-Apr-2025</c:v>
                </c:pt>
                <c:pt idx="84">
                  <c:v>05-May-2025</c:v>
                </c:pt>
                <c:pt idx="85">
                  <c:v>12-May-2025</c:v>
                </c:pt>
                <c:pt idx="86">
                  <c:v>19-May-2025</c:v>
                </c:pt>
                <c:pt idx="87">
                  <c:v>26-May-2025</c:v>
                </c:pt>
                <c:pt idx="88">
                  <c:v>02-Jun-2025</c:v>
                </c:pt>
                <c:pt idx="89">
                  <c:v>09-Jun-2025</c:v>
                </c:pt>
                <c:pt idx="90">
                  <c:v>16-Jun-2025</c:v>
                </c:pt>
                <c:pt idx="91">
                  <c:v>23-Jun-2025</c:v>
                </c:pt>
                <c:pt idx="92">
                  <c:v>30-Jun-2025</c:v>
                </c:pt>
                <c:pt idx="93">
                  <c:v>07-Jul-2025</c:v>
                </c:pt>
                <c:pt idx="94">
                  <c:v>14-Jul-2025</c:v>
                </c:pt>
                <c:pt idx="95">
                  <c:v>21-Jul-2025</c:v>
                </c:pt>
                <c:pt idx="96">
                  <c:v>28-Jul-2025</c:v>
                </c:pt>
                <c:pt idx="97">
                  <c:v>04-Aug-2025</c:v>
                </c:pt>
                <c:pt idx="98">
                  <c:v>11-Aug-2025</c:v>
                </c:pt>
                <c:pt idx="99">
                  <c:v>18-Aug-2025</c:v>
                </c:pt>
                <c:pt idx="100">
                  <c:v>25-Aug-2025</c:v>
                </c:pt>
                <c:pt idx="101">
                  <c:v>01-Sept-2025</c:v>
                </c:pt>
                <c:pt idx="102">
                  <c:v>08-Sept-2025</c:v>
                </c:pt>
                <c:pt idx="103">
                  <c:v>15-Sept-2025</c:v>
                </c:pt>
                <c:pt idx="104">
                  <c:v>22-Sept-2025</c:v>
                </c:pt>
                <c:pt idx="105">
                  <c:v>29-Sept-2025</c:v>
                </c:pt>
                <c:pt idx="106">
                  <c:v>06-Oct-2025</c:v>
                </c:pt>
                <c:pt idx="107">
                  <c:v>13-Oct-2025</c:v>
                </c:pt>
                <c:pt idx="108">
                  <c:v>20-Oct-2025</c:v>
                </c:pt>
                <c:pt idx="109">
                  <c:v>27-Oct-2025</c:v>
                </c:pt>
                <c:pt idx="110">
                  <c:v>03-Nov-2025</c:v>
                </c:pt>
                <c:pt idx="111">
                  <c:v>10-Nov-2025</c:v>
                </c:pt>
                <c:pt idx="112">
                  <c:v>17-Nov-2025</c:v>
                </c:pt>
                <c:pt idx="113">
                  <c:v>24-Nov-2025</c:v>
                </c:pt>
                <c:pt idx="114">
                  <c:v>01-Dec-2025</c:v>
                </c:pt>
                <c:pt idx="115">
                  <c:v>08-Dec-2025</c:v>
                </c:pt>
                <c:pt idx="116">
                  <c:v>15-Dec-2025</c:v>
                </c:pt>
                <c:pt idx="117">
                  <c:v>22-Dec-2025</c:v>
                </c:pt>
                <c:pt idx="118">
                  <c:v>29-Dec-2025</c:v>
                </c:pt>
                <c:pt idx="119">
                  <c:v>05-Jan-2026</c:v>
                </c:pt>
                <c:pt idx="120">
                  <c:v>12-Jan-2026</c:v>
                </c:pt>
                <c:pt idx="121">
                  <c:v>19-Jan-2026</c:v>
                </c:pt>
                <c:pt idx="122">
                  <c:v>26-Jan-2026</c:v>
                </c:pt>
                <c:pt idx="123">
                  <c:v>02-Feb-2026</c:v>
                </c:pt>
                <c:pt idx="124">
                  <c:v>09-Feb-2026</c:v>
                </c:pt>
                <c:pt idx="125">
                  <c:v>16-Feb-2026</c:v>
                </c:pt>
                <c:pt idx="126">
                  <c:v>23-Feb-2026</c:v>
                </c:pt>
                <c:pt idx="127">
                  <c:v>02-Mar-2026</c:v>
                </c:pt>
                <c:pt idx="128">
                  <c:v>09-Mar-2026</c:v>
                </c:pt>
                <c:pt idx="129">
                  <c:v>16-Mar-2026</c:v>
                </c:pt>
                <c:pt idx="130">
                  <c:v>23-Mar-2026</c:v>
                </c:pt>
                <c:pt idx="131">
                  <c:v>30-Mar-2026</c:v>
                </c:pt>
                <c:pt idx="132">
                  <c:v>06-Apr-2026</c:v>
                </c:pt>
                <c:pt idx="133">
                  <c:v>13-Apr-2026</c:v>
                </c:pt>
                <c:pt idx="134">
                  <c:v>20-Apr-2026</c:v>
                </c:pt>
                <c:pt idx="135">
                  <c:v>27-Apr-2026</c:v>
                </c:pt>
                <c:pt idx="136">
                  <c:v>04-May-2026</c:v>
                </c:pt>
                <c:pt idx="137">
                  <c:v>11-May-2026</c:v>
                </c:pt>
                <c:pt idx="138">
                  <c:v>18-May-2026</c:v>
                </c:pt>
                <c:pt idx="139">
                  <c:v>25-May-2026</c:v>
                </c:pt>
                <c:pt idx="140">
                  <c:v>01-Jun-2026</c:v>
                </c:pt>
                <c:pt idx="141">
                  <c:v>08-Jun-2026</c:v>
                </c:pt>
                <c:pt idx="142">
                  <c:v>15-Jun-2026</c:v>
                </c:pt>
                <c:pt idx="143">
                  <c:v>22-Jun-2026</c:v>
                </c:pt>
                <c:pt idx="144">
                  <c:v>29-Jun-2026</c:v>
                </c:pt>
                <c:pt idx="145">
                  <c:v>06-Jul-2026</c:v>
                </c:pt>
                <c:pt idx="146">
                  <c:v>13-Jul-2026</c:v>
                </c:pt>
                <c:pt idx="147">
                  <c:v>20-Jul-2026</c:v>
                </c:pt>
                <c:pt idx="148">
                  <c:v>27-Jul-2026</c:v>
                </c:pt>
                <c:pt idx="149">
                  <c:v>03-Aug-2026</c:v>
                </c:pt>
                <c:pt idx="150">
                  <c:v>10-Aug-2026</c:v>
                </c:pt>
                <c:pt idx="151">
                  <c:v>17-Aug-2026</c:v>
                </c:pt>
                <c:pt idx="152">
                  <c:v>24-Aug-2026</c:v>
                </c:pt>
                <c:pt idx="153">
                  <c:v>31-Aug-2026</c:v>
                </c:pt>
                <c:pt idx="154">
                  <c:v>07-Sept-2026</c:v>
                </c:pt>
                <c:pt idx="155">
                  <c:v>14-Sept-2026</c:v>
                </c:pt>
                <c:pt idx="156">
                  <c:v>21-Sept-2026</c:v>
                </c:pt>
              </c:strCache>
            </c:strRef>
          </c:cat>
          <c:val>
            <c:numRef>
              <c:f>Dataset!$D$6:$D$161</c:f>
              <c:numCache>
                <c:formatCode>#,##0</c:formatCode>
                <c:ptCount val="156"/>
                <c:pt idx="0">
                  <c:v>5407</c:v>
                </c:pt>
                <c:pt idx="1">
                  <c:v>5015</c:v>
                </c:pt>
                <c:pt idx="2">
                  <c:v>6458</c:v>
                </c:pt>
                <c:pt idx="3">
                  <c:v>4822</c:v>
                </c:pt>
                <c:pt idx="4">
                  <c:v>5437</c:v>
                </c:pt>
                <c:pt idx="5">
                  <c:v>6526</c:v>
                </c:pt>
                <c:pt idx="6">
                  <c:v>5056</c:v>
                </c:pt>
                <c:pt idx="7">
                  <c:v>4477</c:v>
                </c:pt>
                <c:pt idx="8">
                  <c:v>5429</c:v>
                </c:pt>
                <c:pt idx="9">
                  <c:v>8006</c:v>
                </c:pt>
                <c:pt idx="10">
                  <c:v>5581</c:v>
                </c:pt>
                <c:pt idx="11">
                  <c:v>4396</c:v>
                </c:pt>
                <c:pt idx="12">
                  <c:v>5417</c:v>
                </c:pt>
                <c:pt idx="13">
                  <c:v>5240</c:v>
                </c:pt>
                <c:pt idx="14">
                  <c:v>6097</c:v>
                </c:pt>
                <c:pt idx="15">
                  <c:v>6754</c:v>
                </c:pt>
                <c:pt idx="16">
                  <c:v>4656</c:v>
                </c:pt>
                <c:pt idx="17">
                  <c:v>5237</c:v>
                </c:pt>
                <c:pt idx="18">
                  <c:v>6526</c:v>
                </c:pt>
                <c:pt idx="19">
                  <c:v>4825</c:v>
                </c:pt>
                <c:pt idx="20">
                  <c:v>4825</c:v>
                </c:pt>
                <c:pt idx="21">
                  <c:v>5261</c:v>
                </c:pt>
                <c:pt idx="22">
                  <c:v>9044</c:v>
                </c:pt>
                <c:pt idx="23">
                  <c:v>6293</c:v>
                </c:pt>
                <c:pt idx="24">
                  <c:v>4982</c:v>
                </c:pt>
                <c:pt idx="25">
                  <c:v>5034</c:v>
                </c:pt>
                <c:pt idx="26">
                  <c:v>5977</c:v>
                </c:pt>
                <c:pt idx="27">
                  <c:v>5504</c:v>
                </c:pt>
                <c:pt idx="28">
                  <c:v>7231</c:v>
                </c:pt>
                <c:pt idx="29">
                  <c:v>5202</c:v>
                </c:pt>
                <c:pt idx="30">
                  <c:v>4779</c:v>
                </c:pt>
                <c:pt idx="31">
                  <c:v>6066</c:v>
                </c:pt>
                <c:pt idx="32">
                  <c:v>5499</c:v>
                </c:pt>
                <c:pt idx="33">
                  <c:v>5131</c:v>
                </c:pt>
                <c:pt idx="34">
                  <c:v>4775</c:v>
                </c:pt>
                <c:pt idx="35">
                  <c:v>5943</c:v>
                </c:pt>
                <c:pt idx="36">
                  <c:v>5556</c:v>
                </c:pt>
                <c:pt idx="37">
                  <c:v>5235</c:v>
                </c:pt>
                <c:pt idx="38">
                  <c:v>5009</c:v>
                </c:pt>
                <c:pt idx="39">
                  <c:v>5126</c:v>
                </c:pt>
                <c:pt idx="40">
                  <c:v>4409</c:v>
                </c:pt>
                <c:pt idx="41">
                  <c:v>6686</c:v>
                </c:pt>
                <c:pt idx="42">
                  <c:v>4320</c:v>
                </c:pt>
                <c:pt idx="43">
                  <c:v>4468</c:v>
                </c:pt>
                <c:pt idx="44">
                  <c:v>4875</c:v>
                </c:pt>
                <c:pt idx="45">
                  <c:v>4287</c:v>
                </c:pt>
                <c:pt idx="46">
                  <c:v>5676</c:v>
                </c:pt>
                <c:pt idx="47">
                  <c:v>5543</c:v>
                </c:pt>
                <c:pt idx="48">
                  <c:v>5986</c:v>
                </c:pt>
                <c:pt idx="49">
                  <c:v>5184</c:v>
                </c:pt>
                <c:pt idx="50">
                  <c:v>5454</c:v>
                </c:pt>
                <c:pt idx="51">
                  <c:v>4799</c:v>
                </c:pt>
                <c:pt idx="52">
                  <c:v>5358</c:v>
                </c:pt>
                <c:pt idx="53">
                  <c:v>6222</c:v>
                </c:pt>
                <c:pt idx="54">
                  <c:v>7222</c:v>
                </c:pt>
                <c:pt idx="55">
                  <c:v>5214</c:v>
                </c:pt>
                <c:pt idx="56">
                  <c:v>5458</c:v>
                </c:pt>
                <c:pt idx="57">
                  <c:v>5335</c:v>
                </c:pt>
                <c:pt idx="58">
                  <c:v>4779</c:v>
                </c:pt>
                <c:pt idx="59">
                  <c:v>5223</c:v>
                </c:pt>
                <c:pt idx="60">
                  <c:v>4941</c:v>
                </c:pt>
                <c:pt idx="61">
                  <c:v>7721</c:v>
                </c:pt>
                <c:pt idx="62">
                  <c:v>5179</c:v>
                </c:pt>
                <c:pt idx="63">
                  <c:v>5240</c:v>
                </c:pt>
                <c:pt idx="64">
                  <c:v>5399</c:v>
                </c:pt>
                <c:pt idx="65">
                  <c:v>5258</c:v>
                </c:pt>
                <c:pt idx="66">
                  <c:v>5143</c:v>
                </c:pt>
                <c:pt idx="67">
                  <c:v>6114</c:v>
                </c:pt>
                <c:pt idx="68">
                  <c:v>5163</c:v>
                </c:pt>
                <c:pt idx="69">
                  <c:v>4597</c:v>
                </c:pt>
                <c:pt idx="70">
                  <c:v>6075</c:v>
                </c:pt>
                <c:pt idx="71">
                  <c:v>5157</c:v>
                </c:pt>
                <c:pt idx="72">
                  <c:v>6029</c:v>
                </c:pt>
                <c:pt idx="73">
                  <c:v>6460</c:v>
                </c:pt>
                <c:pt idx="74">
                  <c:v>7510</c:v>
                </c:pt>
                <c:pt idx="75">
                  <c:v>5817</c:v>
                </c:pt>
                <c:pt idx="76">
                  <c:v>5263</c:v>
                </c:pt>
                <c:pt idx="77">
                  <c:v>6535</c:v>
                </c:pt>
                <c:pt idx="78">
                  <c:v>6183</c:v>
                </c:pt>
                <c:pt idx="79">
                  <c:v>4790</c:v>
                </c:pt>
                <c:pt idx="80">
                  <c:v>7488</c:v>
                </c:pt>
                <c:pt idx="81">
                  <c:v>4991</c:v>
                </c:pt>
                <c:pt idx="82">
                  <c:v>4989</c:v>
                </c:pt>
                <c:pt idx="83">
                  <c:v>6120</c:v>
                </c:pt>
                <c:pt idx="84">
                  <c:v>6765</c:v>
                </c:pt>
                <c:pt idx="85">
                  <c:v>5766</c:v>
                </c:pt>
                <c:pt idx="86">
                  <c:v>5349</c:v>
                </c:pt>
                <c:pt idx="87">
                  <c:v>8791</c:v>
                </c:pt>
                <c:pt idx="88">
                  <c:v>5405</c:v>
                </c:pt>
                <c:pt idx="89">
                  <c:v>5269</c:v>
                </c:pt>
                <c:pt idx="90">
                  <c:v>4999</c:v>
                </c:pt>
                <c:pt idx="91">
                  <c:v>5246</c:v>
                </c:pt>
                <c:pt idx="92">
                  <c:v>5263</c:v>
                </c:pt>
                <c:pt idx="93">
                  <c:v>8135</c:v>
                </c:pt>
                <c:pt idx="94">
                  <c:v>5465</c:v>
                </c:pt>
                <c:pt idx="95">
                  <c:v>5625</c:v>
                </c:pt>
                <c:pt idx="96">
                  <c:v>6873</c:v>
                </c:pt>
                <c:pt idx="97">
                  <c:v>5866</c:v>
                </c:pt>
                <c:pt idx="98">
                  <c:v>5168</c:v>
                </c:pt>
                <c:pt idx="99">
                  <c:v>5833</c:v>
                </c:pt>
                <c:pt idx="100">
                  <c:v>7200</c:v>
                </c:pt>
                <c:pt idx="101">
                  <c:v>5729</c:v>
                </c:pt>
                <c:pt idx="102">
                  <c:v>5870</c:v>
                </c:pt>
                <c:pt idx="103">
                  <c:v>5720</c:v>
                </c:pt>
                <c:pt idx="104">
                  <c:v>4820</c:v>
                </c:pt>
                <c:pt idx="105">
                  <c:v>6649</c:v>
                </c:pt>
                <c:pt idx="106">
                  <c:v>5874</c:v>
                </c:pt>
                <c:pt idx="107">
                  <c:v>5350</c:v>
                </c:pt>
                <c:pt idx="108">
                  <c:v>5570</c:v>
                </c:pt>
                <c:pt idx="109">
                  <c:v>6840</c:v>
                </c:pt>
                <c:pt idx="110">
                  <c:v>5589</c:v>
                </c:pt>
                <c:pt idx="111">
                  <c:v>5854</c:v>
                </c:pt>
                <c:pt idx="112">
                  <c:v>5305</c:v>
                </c:pt>
                <c:pt idx="113">
                  <c:v>7305</c:v>
                </c:pt>
                <c:pt idx="114">
                  <c:v>5307</c:v>
                </c:pt>
                <c:pt idx="115">
                  <c:v>5573</c:v>
                </c:pt>
                <c:pt idx="116">
                  <c:v>5645</c:v>
                </c:pt>
                <c:pt idx="117">
                  <c:v>5305</c:v>
                </c:pt>
                <c:pt idx="118">
                  <c:v>5756</c:v>
                </c:pt>
                <c:pt idx="119">
                  <c:v>6280</c:v>
                </c:pt>
                <c:pt idx="120">
                  <c:v>5610</c:v>
                </c:pt>
                <c:pt idx="121">
                  <c:v>5307</c:v>
                </c:pt>
                <c:pt idx="122">
                  <c:v>7601</c:v>
                </c:pt>
                <c:pt idx="123">
                  <c:v>6406</c:v>
                </c:pt>
                <c:pt idx="124">
                  <c:v>7041</c:v>
                </c:pt>
                <c:pt idx="125">
                  <c:v>5687</c:v>
                </c:pt>
                <c:pt idx="126">
                  <c:v>7453</c:v>
                </c:pt>
                <c:pt idx="127">
                  <c:v>5805</c:v>
                </c:pt>
                <c:pt idx="128">
                  <c:v>6801</c:v>
                </c:pt>
                <c:pt idx="129">
                  <c:v>5213</c:v>
                </c:pt>
                <c:pt idx="130">
                  <c:v>3974</c:v>
                </c:pt>
                <c:pt idx="131">
                  <c:v>4003</c:v>
                </c:pt>
                <c:pt idx="132">
                  <c:v>5860</c:v>
                </c:pt>
                <c:pt idx="133">
                  <c:v>5228</c:v>
                </c:pt>
                <c:pt idx="134">
                  <c:v>5145</c:v>
                </c:pt>
                <c:pt idx="135">
                  <c:v>7313</c:v>
                </c:pt>
                <c:pt idx="136">
                  <c:v>5880</c:v>
                </c:pt>
                <c:pt idx="137">
                  <c:v>6012</c:v>
                </c:pt>
                <c:pt idx="138">
                  <c:v>6199</c:v>
                </c:pt>
                <c:pt idx="139">
                  <c:v>6877</c:v>
                </c:pt>
                <c:pt idx="140">
                  <c:v>5447</c:v>
                </c:pt>
                <c:pt idx="141">
                  <c:v>4877</c:v>
                </c:pt>
                <c:pt idx="142">
                  <c:v>5575</c:v>
                </c:pt>
                <c:pt idx="143">
                  <c:v>5856</c:v>
                </c:pt>
                <c:pt idx="144">
                  <c:v>5229</c:v>
                </c:pt>
                <c:pt idx="145">
                  <c:v>6997</c:v>
                </c:pt>
                <c:pt idx="146">
                  <c:v>5349</c:v>
                </c:pt>
                <c:pt idx="147">
                  <c:v>5430</c:v>
                </c:pt>
                <c:pt idx="148">
                  <c:v>6448</c:v>
                </c:pt>
                <c:pt idx="149">
                  <c:v>4787</c:v>
                </c:pt>
                <c:pt idx="150">
                  <c:v>5294</c:v>
                </c:pt>
                <c:pt idx="151">
                  <c:v>4083</c:v>
                </c:pt>
                <c:pt idx="152">
                  <c:v>5597</c:v>
                </c:pt>
                <c:pt idx="153">
                  <c:v>4766</c:v>
                </c:pt>
                <c:pt idx="154">
                  <c:v>5375</c:v>
                </c:pt>
                <c:pt idx="155">
                  <c:v>5421</c:v>
                </c:pt>
              </c:numCache>
            </c:numRef>
          </c:val>
          <c:smooth val="0"/>
          <c:extLst>
            <c:ext xmlns:c16="http://schemas.microsoft.com/office/drawing/2014/chart" uri="{C3380CC4-5D6E-409C-BE32-E72D297353CC}">
              <c16:uniqueId val="{00000001-2540-49E6-B3FA-7F26B0F7E2E7}"/>
            </c:ext>
          </c:extLst>
        </c:ser>
        <c:ser>
          <c:idx val="2"/>
          <c:order val="2"/>
          <c:tx>
            <c:strRef>
              <c:f>Dataset!$E$5</c:f>
              <c:strCache>
                <c:ptCount val="1"/>
                <c:pt idx="0">
                  <c:v>Historical_Forecast</c:v>
                </c:pt>
              </c:strCache>
            </c:strRef>
          </c:tx>
          <c:spPr>
            <a:ln w="28575" cap="rnd">
              <a:solidFill>
                <a:schemeClr val="accent3"/>
              </a:solidFill>
              <a:round/>
            </a:ln>
            <a:effectLst/>
          </c:spPr>
          <c:marker>
            <c:symbol val="none"/>
          </c:marker>
          <c:cat>
            <c:strRef>
              <c:f>Dataset!$A$5:$A$161</c:f>
              <c:strCache>
                <c:ptCount val="157"/>
                <c:pt idx="0">
                  <c:v>Week_Start_Date</c:v>
                </c:pt>
                <c:pt idx="1">
                  <c:v>02-Oct-2023</c:v>
                </c:pt>
                <c:pt idx="2">
                  <c:v>09-Oct-2023</c:v>
                </c:pt>
                <c:pt idx="3">
                  <c:v>16-Oct-2023</c:v>
                </c:pt>
                <c:pt idx="4">
                  <c:v>23-Oct-2023</c:v>
                </c:pt>
                <c:pt idx="5">
                  <c:v>30-Oct-2023</c:v>
                </c:pt>
                <c:pt idx="6">
                  <c:v>06-Nov-2023</c:v>
                </c:pt>
                <c:pt idx="7">
                  <c:v>13-Nov-2023</c:v>
                </c:pt>
                <c:pt idx="8">
                  <c:v>20-Nov-2023</c:v>
                </c:pt>
                <c:pt idx="9">
                  <c:v>27-Nov-2023</c:v>
                </c:pt>
                <c:pt idx="10">
                  <c:v>04-Dec-2023</c:v>
                </c:pt>
                <c:pt idx="11">
                  <c:v>11-Dec-2023</c:v>
                </c:pt>
                <c:pt idx="12">
                  <c:v>18-Dec-2023</c:v>
                </c:pt>
                <c:pt idx="13">
                  <c:v>25-Dec-2023</c:v>
                </c:pt>
                <c:pt idx="14">
                  <c:v>01-Jan-2024</c:v>
                </c:pt>
                <c:pt idx="15">
                  <c:v>08-Jan-2024</c:v>
                </c:pt>
                <c:pt idx="16">
                  <c:v>15-Jan-2024</c:v>
                </c:pt>
                <c:pt idx="17">
                  <c:v>22-Jan-2024</c:v>
                </c:pt>
                <c:pt idx="18">
                  <c:v>29-Jan-2024</c:v>
                </c:pt>
                <c:pt idx="19">
                  <c:v>05-Feb-2024</c:v>
                </c:pt>
                <c:pt idx="20">
                  <c:v>12-Feb-2024</c:v>
                </c:pt>
                <c:pt idx="21">
                  <c:v>19-Feb-2024</c:v>
                </c:pt>
                <c:pt idx="22">
                  <c:v>26-Feb-2024</c:v>
                </c:pt>
                <c:pt idx="23">
                  <c:v>04-Mar-2024</c:v>
                </c:pt>
                <c:pt idx="24">
                  <c:v>11-Mar-2024</c:v>
                </c:pt>
                <c:pt idx="25">
                  <c:v>18-Mar-2024</c:v>
                </c:pt>
                <c:pt idx="26">
                  <c:v>25-Mar-2024</c:v>
                </c:pt>
                <c:pt idx="27">
                  <c:v>01-Apr-2024</c:v>
                </c:pt>
                <c:pt idx="28">
                  <c:v>08-Apr-2024</c:v>
                </c:pt>
                <c:pt idx="29">
                  <c:v>15-Apr-2024</c:v>
                </c:pt>
                <c:pt idx="30">
                  <c:v>22-Apr-2024</c:v>
                </c:pt>
                <c:pt idx="31">
                  <c:v>29-Apr-2024</c:v>
                </c:pt>
                <c:pt idx="32">
                  <c:v>06-May-2024</c:v>
                </c:pt>
                <c:pt idx="33">
                  <c:v>13-May-2024</c:v>
                </c:pt>
                <c:pt idx="34">
                  <c:v>20-May-2024</c:v>
                </c:pt>
                <c:pt idx="35">
                  <c:v>27-May-2024</c:v>
                </c:pt>
                <c:pt idx="36">
                  <c:v>03-Jun-2024</c:v>
                </c:pt>
                <c:pt idx="37">
                  <c:v>10-Jun-2024</c:v>
                </c:pt>
                <c:pt idx="38">
                  <c:v>17-Jun-2024</c:v>
                </c:pt>
                <c:pt idx="39">
                  <c:v>24-Jun-2024</c:v>
                </c:pt>
                <c:pt idx="40">
                  <c:v>01-Jul-2024</c:v>
                </c:pt>
                <c:pt idx="41">
                  <c:v>08-Jul-2024</c:v>
                </c:pt>
                <c:pt idx="42">
                  <c:v>15-Jul-2024</c:v>
                </c:pt>
                <c:pt idx="43">
                  <c:v>22-Jul-2024</c:v>
                </c:pt>
                <c:pt idx="44">
                  <c:v>29-Jul-2024</c:v>
                </c:pt>
                <c:pt idx="45">
                  <c:v>05-Aug-2024</c:v>
                </c:pt>
                <c:pt idx="46">
                  <c:v>12-Aug-2024</c:v>
                </c:pt>
                <c:pt idx="47">
                  <c:v>19-Aug-2024</c:v>
                </c:pt>
                <c:pt idx="48">
                  <c:v>26-Aug-2024</c:v>
                </c:pt>
                <c:pt idx="49">
                  <c:v>02-Sept-2024</c:v>
                </c:pt>
                <c:pt idx="50">
                  <c:v>09-Sept-2024</c:v>
                </c:pt>
                <c:pt idx="51">
                  <c:v>16-Sept-2024</c:v>
                </c:pt>
                <c:pt idx="52">
                  <c:v>23-Sept-2024</c:v>
                </c:pt>
                <c:pt idx="53">
                  <c:v>30-Sept-2024</c:v>
                </c:pt>
                <c:pt idx="54">
                  <c:v>07-Oct-2024</c:v>
                </c:pt>
                <c:pt idx="55">
                  <c:v>14-Oct-2024</c:v>
                </c:pt>
                <c:pt idx="56">
                  <c:v>21-Oct-2024</c:v>
                </c:pt>
                <c:pt idx="57">
                  <c:v>28-Oct-2024</c:v>
                </c:pt>
                <c:pt idx="58">
                  <c:v>04-Nov-2024</c:v>
                </c:pt>
                <c:pt idx="59">
                  <c:v>11-Nov-2024</c:v>
                </c:pt>
                <c:pt idx="60">
                  <c:v>18-Nov-2024</c:v>
                </c:pt>
                <c:pt idx="61">
                  <c:v>25-Nov-2024</c:v>
                </c:pt>
                <c:pt idx="62">
                  <c:v>02-Dec-2024</c:v>
                </c:pt>
                <c:pt idx="63">
                  <c:v>09-Dec-2024</c:v>
                </c:pt>
                <c:pt idx="64">
                  <c:v>16-Dec-2024</c:v>
                </c:pt>
                <c:pt idx="65">
                  <c:v>23-Dec-2024</c:v>
                </c:pt>
                <c:pt idx="66">
                  <c:v>30-Dec-2024</c:v>
                </c:pt>
                <c:pt idx="67">
                  <c:v>06-Jan-2025</c:v>
                </c:pt>
                <c:pt idx="68">
                  <c:v>13-Jan-2025</c:v>
                </c:pt>
                <c:pt idx="69">
                  <c:v>20-Jan-2025</c:v>
                </c:pt>
                <c:pt idx="70">
                  <c:v>27-Jan-2025</c:v>
                </c:pt>
                <c:pt idx="71">
                  <c:v>03-Feb-2025</c:v>
                </c:pt>
                <c:pt idx="72">
                  <c:v>10-Feb-2025</c:v>
                </c:pt>
                <c:pt idx="73">
                  <c:v>17-Feb-2025</c:v>
                </c:pt>
                <c:pt idx="74">
                  <c:v>24-Feb-2025</c:v>
                </c:pt>
                <c:pt idx="75">
                  <c:v>03-Mar-2025</c:v>
                </c:pt>
                <c:pt idx="76">
                  <c:v>10-Mar-2025</c:v>
                </c:pt>
                <c:pt idx="77">
                  <c:v>17-Mar-2025</c:v>
                </c:pt>
                <c:pt idx="78">
                  <c:v>24-Mar-2025</c:v>
                </c:pt>
                <c:pt idx="79">
                  <c:v>31-Mar-2025</c:v>
                </c:pt>
                <c:pt idx="80">
                  <c:v>07-Apr-2025</c:v>
                </c:pt>
                <c:pt idx="81">
                  <c:v>14-Apr-2025</c:v>
                </c:pt>
                <c:pt idx="82">
                  <c:v>21-Apr-2025</c:v>
                </c:pt>
                <c:pt idx="83">
                  <c:v>28-Apr-2025</c:v>
                </c:pt>
                <c:pt idx="84">
                  <c:v>05-May-2025</c:v>
                </c:pt>
                <c:pt idx="85">
                  <c:v>12-May-2025</c:v>
                </c:pt>
                <c:pt idx="86">
                  <c:v>19-May-2025</c:v>
                </c:pt>
                <c:pt idx="87">
                  <c:v>26-May-2025</c:v>
                </c:pt>
                <c:pt idx="88">
                  <c:v>02-Jun-2025</c:v>
                </c:pt>
                <c:pt idx="89">
                  <c:v>09-Jun-2025</c:v>
                </c:pt>
                <c:pt idx="90">
                  <c:v>16-Jun-2025</c:v>
                </c:pt>
                <c:pt idx="91">
                  <c:v>23-Jun-2025</c:v>
                </c:pt>
                <c:pt idx="92">
                  <c:v>30-Jun-2025</c:v>
                </c:pt>
                <c:pt idx="93">
                  <c:v>07-Jul-2025</c:v>
                </c:pt>
                <c:pt idx="94">
                  <c:v>14-Jul-2025</c:v>
                </c:pt>
                <c:pt idx="95">
                  <c:v>21-Jul-2025</c:v>
                </c:pt>
                <c:pt idx="96">
                  <c:v>28-Jul-2025</c:v>
                </c:pt>
                <c:pt idx="97">
                  <c:v>04-Aug-2025</c:v>
                </c:pt>
                <c:pt idx="98">
                  <c:v>11-Aug-2025</c:v>
                </c:pt>
                <c:pt idx="99">
                  <c:v>18-Aug-2025</c:v>
                </c:pt>
                <c:pt idx="100">
                  <c:v>25-Aug-2025</c:v>
                </c:pt>
                <c:pt idx="101">
                  <c:v>01-Sept-2025</c:v>
                </c:pt>
                <c:pt idx="102">
                  <c:v>08-Sept-2025</c:v>
                </c:pt>
                <c:pt idx="103">
                  <c:v>15-Sept-2025</c:v>
                </c:pt>
                <c:pt idx="104">
                  <c:v>22-Sept-2025</c:v>
                </c:pt>
                <c:pt idx="105">
                  <c:v>29-Sept-2025</c:v>
                </c:pt>
                <c:pt idx="106">
                  <c:v>06-Oct-2025</c:v>
                </c:pt>
                <c:pt idx="107">
                  <c:v>13-Oct-2025</c:v>
                </c:pt>
                <c:pt idx="108">
                  <c:v>20-Oct-2025</c:v>
                </c:pt>
                <c:pt idx="109">
                  <c:v>27-Oct-2025</c:v>
                </c:pt>
                <c:pt idx="110">
                  <c:v>03-Nov-2025</c:v>
                </c:pt>
                <c:pt idx="111">
                  <c:v>10-Nov-2025</c:v>
                </c:pt>
                <c:pt idx="112">
                  <c:v>17-Nov-2025</c:v>
                </c:pt>
                <c:pt idx="113">
                  <c:v>24-Nov-2025</c:v>
                </c:pt>
                <c:pt idx="114">
                  <c:v>01-Dec-2025</c:v>
                </c:pt>
                <c:pt idx="115">
                  <c:v>08-Dec-2025</c:v>
                </c:pt>
                <c:pt idx="116">
                  <c:v>15-Dec-2025</c:v>
                </c:pt>
                <c:pt idx="117">
                  <c:v>22-Dec-2025</c:v>
                </c:pt>
                <c:pt idx="118">
                  <c:v>29-Dec-2025</c:v>
                </c:pt>
                <c:pt idx="119">
                  <c:v>05-Jan-2026</c:v>
                </c:pt>
                <c:pt idx="120">
                  <c:v>12-Jan-2026</c:v>
                </c:pt>
                <c:pt idx="121">
                  <c:v>19-Jan-2026</c:v>
                </c:pt>
                <c:pt idx="122">
                  <c:v>26-Jan-2026</c:v>
                </c:pt>
                <c:pt idx="123">
                  <c:v>02-Feb-2026</c:v>
                </c:pt>
                <c:pt idx="124">
                  <c:v>09-Feb-2026</c:v>
                </c:pt>
                <c:pt idx="125">
                  <c:v>16-Feb-2026</c:v>
                </c:pt>
                <c:pt idx="126">
                  <c:v>23-Feb-2026</c:v>
                </c:pt>
                <c:pt idx="127">
                  <c:v>02-Mar-2026</c:v>
                </c:pt>
                <c:pt idx="128">
                  <c:v>09-Mar-2026</c:v>
                </c:pt>
                <c:pt idx="129">
                  <c:v>16-Mar-2026</c:v>
                </c:pt>
                <c:pt idx="130">
                  <c:v>23-Mar-2026</c:v>
                </c:pt>
                <c:pt idx="131">
                  <c:v>30-Mar-2026</c:v>
                </c:pt>
                <c:pt idx="132">
                  <c:v>06-Apr-2026</c:v>
                </c:pt>
                <c:pt idx="133">
                  <c:v>13-Apr-2026</c:v>
                </c:pt>
                <c:pt idx="134">
                  <c:v>20-Apr-2026</c:v>
                </c:pt>
                <c:pt idx="135">
                  <c:v>27-Apr-2026</c:v>
                </c:pt>
                <c:pt idx="136">
                  <c:v>04-May-2026</c:v>
                </c:pt>
                <c:pt idx="137">
                  <c:v>11-May-2026</c:v>
                </c:pt>
                <c:pt idx="138">
                  <c:v>18-May-2026</c:v>
                </c:pt>
                <c:pt idx="139">
                  <c:v>25-May-2026</c:v>
                </c:pt>
                <c:pt idx="140">
                  <c:v>01-Jun-2026</c:v>
                </c:pt>
                <c:pt idx="141">
                  <c:v>08-Jun-2026</c:v>
                </c:pt>
                <c:pt idx="142">
                  <c:v>15-Jun-2026</c:v>
                </c:pt>
                <c:pt idx="143">
                  <c:v>22-Jun-2026</c:v>
                </c:pt>
                <c:pt idx="144">
                  <c:v>29-Jun-2026</c:v>
                </c:pt>
                <c:pt idx="145">
                  <c:v>06-Jul-2026</c:v>
                </c:pt>
                <c:pt idx="146">
                  <c:v>13-Jul-2026</c:v>
                </c:pt>
                <c:pt idx="147">
                  <c:v>20-Jul-2026</c:v>
                </c:pt>
                <c:pt idx="148">
                  <c:v>27-Jul-2026</c:v>
                </c:pt>
                <c:pt idx="149">
                  <c:v>03-Aug-2026</c:v>
                </c:pt>
                <c:pt idx="150">
                  <c:v>10-Aug-2026</c:v>
                </c:pt>
                <c:pt idx="151">
                  <c:v>17-Aug-2026</c:v>
                </c:pt>
                <c:pt idx="152">
                  <c:v>24-Aug-2026</c:v>
                </c:pt>
                <c:pt idx="153">
                  <c:v>31-Aug-2026</c:v>
                </c:pt>
                <c:pt idx="154">
                  <c:v>07-Sept-2026</c:v>
                </c:pt>
                <c:pt idx="155">
                  <c:v>14-Sept-2026</c:v>
                </c:pt>
                <c:pt idx="156">
                  <c:v>21-Sept-2026</c:v>
                </c:pt>
              </c:strCache>
            </c:strRef>
          </c:cat>
          <c:val>
            <c:numRef>
              <c:f>Dataset!$E$6:$E$161</c:f>
              <c:numCache>
                <c:formatCode>#,##0</c:formatCode>
                <c:ptCount val="156"/>
                <c:pt idx="0">
                  <c:v>5000</c:v>
                </c:pt>
                <c:pt idx="1">
                  <c:v>5115</c:v>
                </c:pt>
                <c:pt idx="2">
                  <c:v>5540</c:v>
                </c:pt>
                <c:pt idx="3">
                  <c:v>5098</c:v>
                </c:pt>
                <c:pt idx="4">
                  <c:v>5077</c:v>
                </c:pt>
                <c:pt idx="5">
                  <c:v>5602</c:v>
                </c:pt>
                <c:pt idx="6">
                  <c:v>5225</c:v>
                </c:pt>
                <c:pt idx="7">
                  <c:v>5182</c:v>
                </c:pt>
                <c:pt idx="8">
                  <c:v>5225</c:v>
                </c:pt>
                <c:pt idx="9">
                  <c:v>5622</c:v>
                </c:pt>
                <c:pt idx="10">
                  <c:v>5160</c:v>
                </c:pt>
                <c:pt idx="11">
                  <c:v>5170</c:v>
                </c:pt>
                <c:pt idx="12">
                  <c:v>5107</c:v>
                </c:pt>
                <c:pt idx="13">
                  <c:v>5130</c:v>
                </c:pt>
                <c:pt idx="14">
                  <c:v>5046</c:v>
                </c:pt>
                <c:pt idx="15">
                  <c:v>5434</c:v>
                </c:pt>
                <c:pt idx="16">
                  <c:v>4965</c:v>
                </c:pt>
                <c:pt idx="17">
                  <c:v>4954</c:v>
                </c:pt>
                <c:pt idx="18">
                  <c:v>5375</c:v>
                </c:pt>
                <c:pt idx="19">
                  <c:v>4949</c:v>
                </c:pt>
                <c:pt idx="20">
                  <c:v>4986</c:v>
                </c:pt>
                <c:pt idx="21">
                  <c:v>4957</c:v>
                </c:pt>
                <c:pt idx="22">
                  <c:v>5831</c:v>
                </c:pt>
                <c:pt idx="23">
                  <c:v>5595</c:v>
                </c:pt>
                <c:pt idx="24">
                  <c:v>5583</c:v>
                </c:pt>
                <c:pt idx="25">
                  <c:v>5559</c:v>
                </c:pt>
                <c:pt idx="26">
                  <c:v>5568</c:v>
                </c:pt>
                <c:pt idx="27">
                  <c:v>5780</c:v>
                </c:pt>
                <c:pt idx="28">
                  <c:v>5570</c:v>
                </c:pt>
                <c:pt idx="29">
                  <c:v>5418</c:v>
                </c:pt>
                <c:pt idx="30">
                  <c:v>5237</c:v>
                </c:pt>
                <c:pt idx="31">
                  <c:v>5610</c:v>
                </c:pt>
                <c:pt idx="32">
                  <c:v>5134</c:v>
                </c:pt>
                <c:pt idx="33">
                  <c:v>5137</c:v>
                </c:pt>
                <c:pt idx="34">
                  <c:v>5126</c:v>
                </c:pt>
                <c:pt idx="35">
                  <c:v>5376</c:v>
                </c:pt>
                <c:pt idx="36">
                  <c:v>5611</c:v>
                </c:pt>
                <c:pt idx="37">
                  <c:v>5509</c:v>
                </c:pt>
                <c:pt idx="38">
                  <c:v>4926</c:v>
                </c:pt>
                <c:pt idx="39">
                  <c:v>4904</c:v>
                </c:pt>
                <c:pt idx="40">
                  <c:v>4903</c:v>
                </c:pt>
                <c:pt idx="41">
                  <c:v>5348</c:v>
                </c:pt>
                <c:pt idx="42">
                  <c:v>4865</c:v>
                </c:pt>
                <c:pt idx="43">
                  <c:v>4900</c:v>
                </c:pt>
                <c:pt idx="44">
                  <c:v>5336</c:v>
                </c:pt>
                <c:pt idx="45">
                  <c:v>4973</c:v>
                </c:pt>
                <c:pt idx="46">
                  <c:v>5016</c:v>
                </c:pt>
                <c:pt idx="47">
                  <c:v>5050</c:v>
                </c:pt>
                <c:pt idx="48">
                  <c:v>5418</c:v>
                </c:pt>
                <c:pt idx="49">
                  <c:v>5101</c:v>
                </c:pt>
                <c:pt idx="50">
                  <c:v>5182</c:v>
                </c:pt>
                <c:pt idx="51">
                  <c:v>5248</c:v>
                </c:pt>
                <c:pt idx="52">
                  <c:v>5193</c:v>
                </c:pt>
                <c:pt idx="53">
                  <c:v>5301</c:v>
                </c:pt>
                <c:pt idx="54">
                  <c:v>5841</c:v>
                </c:pt>
                <c:pt idx="55">
                  <c:v>5320</c:v>
                </c:pt>
                <c:pt idx="56">
                  <c:v>5246</c:v>
                </c:pt>
                <c:pt idx="57">
                  <c:v>5735</c:v>
                </c:pt>
                <c:pt idx="58">
                  <c:v>5266</c:v>
                </c:pt>
                <c:pt idx="59">
                  <c:v>5097</c:v>
                </c:pt>
                <c:pt idx="60">
                  <c:v>5081</c:v>
                </c:pt>
                <c:pt idx="61">
                  <c:v>5556</c:v>
                </c:pt>
                <c:pt idx="62">
                  <c:v>5123</c:v>
                </c:pt>
                <c:pt idx="63">
                  <c:v>5101</c:v>
                </c:pt>
                <c:pt idx="64">
                  <c:v>5093</c:v>
                </c:pt>
                <c:pt idx="65">
                  <c:v>5130</c:v>
                </c:pt>
                <c:pt idx="66">
                  <c:v>5317</c:v>
                </c:pt>
                <c:pt idx="67">
                  <c:v>5693</c:v>
                </c:pt>
                <c:pt idx="68">
                  <c:v>5180</c:v>
                </c:pt>
                <c:pt idx="69">
                  <c:v>5269</c:v>
                </c:pt>
                <c:pt idx="70">
                  <c:v>5775</c:v>
                </c:pt>
                <c:pt idx="71">
                  <c:v>5339</c:v>
                </c:pt>
                <c:pt idx="72">
                  <c:v>5962</c:v>
                </c:pt>
                <c:pt idx="73">
                  <c:v>6034</c:v>
                </c:pt>
                <c:pt idx="74">
                  <c:v>6471</c:v>
                </c:pt>
                <c:pt idx="75">
                  <c:v>6057</c:v>
                </c:pt>
                <c:pt idx="76">
                  <c:v>6098</c:v>
                </c:pt>
                <c:pt idx="77">
                  <c:v>6071</c:v>
                </c:pt>
                <c:pt idx="78">
                  <c:v>5955</c:v>
                </c:pt>
                <c:pt idx="79">
                  <c:v>5478</c:v>
                </c:pt>
                <c:pt idx="80">
                  <c:v>5926</c:v>
                </c:pt>
                <c:pt idx="81">
                  <c:v>5388</c:v>
                </c:pt>
                <c:pt idx="82">
                  <c:v>5281</c:v>
                </c:pt>
                <c:pt idx="83">
                  <c:v>5675</c:v>
                </c:pt>
                <c:pt idx="84">
                  <c:v>5237</c:v>
                </c:pt>
                <c:pt idx="85">
                  <c:v>5175</c:v>
                </c:pt>
                <c:pt idx="86">
                  <c:v>5728</c:v>
                </c:pt>
                <c:pt idx="87">
                  <c:v>6141</c:v>
                </c:pt>
                <c:pt idx="88">
                  <c:v>5668</c:v>
                </c:pt>
                <c:pt idx="89">
                  <c:v>5127</c:v>
                </c:pt>
                <c:pt idx="90">
                  <c:v>5174</c:v>
                </c:pt>
                <c:pt idx="91">
                  <c:v>5208</c:v>
                </c:pt>
                <c:pt idx="92">
                  <c:v>5310</c:v>
                </c:pt>
                <c:pt idx="93">
                  <c:v>5698</c:v>
                </c:pt>
                <c:pt idx="94">
                  <c:v>5405</c:v>
                </c:pt>
                <c:pt idx="95">
                  <c:v>5446</c:v>
                </c:pt>
                <c:pt idx="96">
                  <c:v>5821</c:v>
                </c:pt>
                <c:pt idx="97">
                  <c:v>5447</c:v>
                </c:pt>
                <c:pt idx="98">
                  <c:v>5456</c:v>
                </c:pt>
                <c:pt idx="99">
                  <c:v>5403</c:v>
                </c:pt>
                <c:pt idx="100">
                  <c:v>5959</c:v>
                </c:pt>
                <c:pt idx="101">
                  <c:v>5411</c:v>
                </c:pt>
                <c:pt idx="102">
                  <c:v>5289</c:v>
                </c:pt>
                <c:pt idx="103">
                  <c:v>5342</c:v>
                </c:pt>
                <c:pt idx="104">
                  <c:v>5304</c:v>
                </c:pt>
                <c:pt idx="105">
                  <c:v>5286</c:v>
                </c:pt>
                <c:pt idx="106">
                  <c:v>5643</c:v>
                </c:pt>
                <c:pt idx="107">
                  <c:v>5223</c:v>
                </c:pt>
                <c:pt idx="108">
                  <c:v>5202</c:v>
                </c:pt>
                <c:pt idx="109">
                  <c:v>5712</c:v>
                </c:pt>
                <c:pt idx="110">
                  <c:v>5166</c:v>
                </c:pt>
                <c:pt idx="111">
                  <c:v>5200</c:v>
                </c:pt>
                <c:pt idx="112">
                  <c:v>5382</c:v>
                </c:pt>
                <c:pt idx="113">
                  <c:v>5728</c:v>
                </c:pt>
                <c:pt idx="114">
                  <c:v>5299</c:v>
                </c:pt>
                <c:pt idx="115">
                  <c:v>5299</c:v>
                </c:pt>
                <c:pt idx="116">
                  <c:v>5398</c:v>
                </c:pt>
                <c:pt idx="117">
                  <c:v>5422</c:v>
                </c:pt>
                <c:pt idx="118">
                  <c:v>5620</c:v>
                </c:pt>
                <c:pt idx="119">
                  <c:v>6111</c:v>
                </c:pt>
                <c:pt idx="120">
                  <c:v>5647</c:v>
                </c:pt>
                <c:pt idx="121">
                  <c:v>5565</c:v>
                </c:pt>
                <c:pt idx="122">
                  <c:v>6119</c:v>
                </c:pt>
                <c:pt idx="123">
                  <c:v>6316</c:v>
                </c:pt>
                <c:pt idx="124">
                  <c:v>6157</c:v>
                </c:pt>
                <c:pt idx="125">
                  <c:v>6238</c:v>
                </c:pt>
                <c:pt idx="126">
                  <c:v>6648</c:v>
                </c:pt>
                <c:pt idx="127">
                  <c:v>6073</c:v>
                </c:pt>
                <c:pt idx="128">
                  <c:v>6036</c:v>
                </c:pt>
                <c:pt idx="129">
                  <c:v>6020</c:v>
                </c:pt>
                <c:pt idx="130">
                  <c:v>5367</c:v>
                </c:pt>
                <c:pt idx="131">
                  <c:v>5449</c:v>
                </c:pt>
                <c:pt idx="132">
                  <c:v>5877</c:v>
                </c:pt>
                <c:pt idx="133">
                  <c:v>5408</c:v>
                </c:pt>
                <c:pt idx="134">
                  <c:v>5448</c:v>
                </c:pt>
                <c:pt idx="135">
                  <c:v>5889</c:v>
                </c:pt>
                <c:pt idx="136">
                  <c:v>5472</c:v>
                </c:pt>
                <c:pt idx="137">
                  <c:v>5974</c:v>
                </c:pt>
                <c:pt idx="138">
                  <c:v>6048</c:v>
                </c:pt>
                <c:pt idx="139">
                  <c:v>5983</c:v>
                </c:pt>
                <c:pt idx="140">
                  <c:v>5567</c:v>
                </c:pt>
                <c:pt idx="141">
                  <c:v>5540</c:v>
                </c:pt>
                <c:pt idx="142">
                  <c:v>5615</c:v>
                </c:pt>
                <c:pt idx="143">
                  <c:v>5598</c:v>
                </c:pt>
                <c:pt idx="144">
                  <c:v>5653</c:v>
                </c:pt>
                <c:pt idx="145">
                  <c:v>6066</c:v>
                </c:pt>
                <c:pt idx="146">
                  <c:v>5682</c:v>
                </c:pt>
                <c:pt idx="147">
                  <c:v>5651</c:v>
                </c:pt>
                <c:pt idx="148">
                  <c:v>6102</c:v>
                </c:pt>
                <c:pt idx="149">
                  <c:v>5513</c:v>
                </c:pt>
                <c:pt idx="150">
                  <c:v>5504</c:v>
                </c:pt>
                <c:pt idx="151">
                  <c:v>5500</c:v>
                </c:pt>
                <c:pt idx="152">
                  <c:v>5927</c:v>
                </c:pt>
                <c:pt idx="153">
                  <c:v>5457</c:v>
                </c:pt>
                <c:pt idx="154">
                  <c:v>5292</c:v>
                </c:pt>
                <c:pt idx="155">
                  <c:v>5355</c:v>
                </c:pt>
              </c:numCache>
            </c:numRef>
          </c:val>
          <c:smooth val="0"/>
          <c:extLst>
            <c:ext xmlns:c16="http://schemas.microsoft.com/office/drawing/2014/chart" uri="{C3380CC4-5D6E-409C-BE32-E72D297353CC}">
              <c16:uniqueId val="{00000002-2540-49E6-B3FA-7F26B0F7E2E7}"/>
            </c:ext>
          </c:extLst>
        </c:ser>
        <c:dLbls>
          <c:showLegendKey val="0"/>
          <c:showVal val="0"/>
          <c:showCatName val="0"/>
          <c:showSerName val="0"/>
          <c:showPercent val="0"/>
          <c:showBubbleSize val="0"/>
        </c:dLbls>
        <c:smooth val="0"/>
        <c:axId val="1387252704"/>
        <c:axId val="760650096"/>
        <c:extLst>
          <c:ext xmlns:c15="http://schemas.microsoft.com/office/drawing/2012/chart" uri="{02D57815-91ED-43cb-92C2-25804820EDAC}">
            <c15:filteredLineSeries>
              <c15:ser>
                <c:idx val="0"/>
                <c:order val="0"/>
                <c:tx>
                  <c:strRef>
                    <c:extLst>
                      <c:ext uri="{02D57815-91ED-43cb-92C2-25804820EDAC}">
                        <c15:formulaRef>
                          <c15:sqref>Dataset!$C$5</c15:sqref>
                        </c15:formulaRef>
                      </c:ext>
                    </c:extLst>
                    <c:strCache>
                      <c:ptCount val="1"/>
                      <c:pt idx="0">
                        <c:v>Market_Channel</c:v>
                      </c:pt>
                    </c:strCache>
                  </c:strRef>
                </c:tx>
                <c:spPr>
                  <a:ln w="28575" cap="rnd">
                    <a:solidFill>
                      <a:schemeClr val="accent1"/>
                    </a:solidFill>
                    <a:round/>
                  </a:ln>
                  <a:effectLst/>
                </c:spPr>
                <c:marker>
                  <c:symbol val="none"/>
                </c:marker>
                <c:cat>
                  <c:strRef>
                    <c:extLst>
                      <c:ext uri="{02D57815-91ED-43cb-92C2-25804820EDAC}">
                        <c15:formulaRef>
                          <c15:sqref>Dataset!$A$5:$A$161</c15:sqref>
                        </c15:formulaRef>
                      </c:ext>
                    </c:extLst>
                    <c:strCache>
                      <c:ptCount val="157"/>
                      <c:pt idx="0">
                        <c:v>Week_Start_Date</c:v>
                      </c:pt>
                      <c:pt idx="1">
                        <c:v>02-Oct-2023</c:v>
                      </c:pt>
                      <c:pt idx="2">
                        <c:v>09-Oct-2023</c:v>
                      </c:pt>
                      <c:pt idx="3">
                        <c:v>16-Oct-2023</c:v>
                      </c:pt>
                      <c:pt idx="4">
                        <c:v>23-Oct-2023</c:v>
                      </c:pt>
                      <c:pt idx="5">
                        <c:v>30-Oct-2023</c:v>
                      </c:pt>
                      <c:pt idx="6">
                        <c:v>06-Nov-2023</c:v>
                      </c:pt>
                      <c:pt idx="7">
                        <c:v>13-Nov-2023</c:v>
                      </c:pt>
                      <c:pt idx="8">
                        <c:v>20-Nov-2023</c:v>
                      </c:pt>
                      <c:pt idx="9">
                        <c:v>27-Nov-2023</c:v>
                      </c:pt>
                      <c:pt idx="10">
                        <c:v>04-Dec-2023</c:v>
                      </c:pt>
                      <c:pt idx="11">
                        <c:v>11-Dec-2023</c:v>
                      </c:pt>
                      <c:pt idx="12">
                        <c:v>18-Dec-2023</c:v>
                      </c:pt>
                      <c:pt idx="13">
                        <c:v>25-Dec-2023</c:v>
                      </c:pt>
                      <c:pt idx="14">
                        <c:v>01-Jan-2024</c:v>
                      </c:pt>
                      <c:pt idx="15">
                        <c:v>08-Jan-2024</c:v>
                      </c:pt>
                      <c:pt idx="16">
                        <c:v>15-Jan-2024</c:v>
                      </c:pt>
                      <c:pt idx="17">
                        <c:v>22-Jan-2024</c:v>
                      </c:pt>
                      <c:pt idx="18">
                        <c:v>29-Jan-2024</c:v>
                      </c:pt>
                      <c:pt idx="19">
                        <c:v>05-Feb-2024</c:v>
                      </c:pt>
                      <c:pt idx="20">
                        <c:v>12-Feb-2024</c:v>
                      </c:pt>
                      <c:pt idx="21">
                        <c:v>19-Feb-2024</c:v>
                      </c:pt>
                      <c:pt idx="22">
                        <c:v>26-Feb-2024</c:v>
                      </c:pt>
                      <c:pt idx="23">
                        <c:v>04-Mar-2024</c:v>
                      </c:pt>
                      <c:pt idx="24">
                        <c:v>11-Mar-2024</c:v>
                      </c:pt>
                      <c:pt idx="25">
                        <c:v>18-Mar-2024</c:v>
                      </c:pt>
                      <c:pt idx="26">
                        <c:v>25-Mar-2024</c:v>
                      </c:pt>
                      <c:pt idx="27">
                        <c:v>01-Apr-2024</c:v>
                      </c:pt>
                      <c:pt idx="28">
                        <c:v>08-Apr-2024</c:v>
                      </c:pt>
                      <c:pt idx="29">
                        <c:v>15-Apr-2024</c:v>
                      </c:pt>
                      <c:pt idx="30">
                        <c:v>22-Apr-2024</c:v>
                      </c:pt>
                      <c:pt idx="31">
                        <c:v>29-Apr-2024</c:v>
                      </c:pt>
                      <c:pt idx="32">
                        <c:v>06-May-2024</c:v>
                      </c:pt>
                      <c:pt idx="33">
                        <c:v>13-May-2024</c:v>
                      </c:pt>
                      <c:pt idx="34">
                        <c:v>20-May-2024</c:v>
                      </c:pt>
                      <c:pt idx="35">
                        <c:v>27-May-2024</c:v>
                      </c:pt>
                      <c:pt idx="36">
                        <c:v>03-Jun-2024</c:v>
                      </c:pt>
                      <c:pt idx="37">
                        <c:v>10-Jun-2024</c:v>
                      </c:pt>
                      <c:pt idx="38">
                        <c:v>17-Jun-2024</c:v>
                      </c:pt>
                      <c:pt idx="39">
                        <c:v>24-Jun-2024</c:v>
                      </c:pt>
                      <c:pt idx="40">
                        <c:v>01-Jul-2024</c:v>
                      </c:pt>
                      <c:pt idx="41">
                        <c:v>08-Jul-2024</c:v>
                      </c:pt>
                      <c:pt idx="42">
                        <c:v>15-Jul-2024</c:v>
                      </c:pt>
                      <c:pt idx="43">
                        <c:v>22-Jul-2024</c:v>
                      </c:pt>
                      <c:pt idx="44">
                        <c:v>29-Jul-2024</c:v>
                      </c:pt>
                      <c:pt idx="45">
                        <c:v>05-Aug-2024</c:v>
                      </c:pt>
                      <c:pt idx="46">
                        <c:v>12-Aug-2024</c:v>
                      </c:pt>
                      <c:pt idx="47">
                        <c:v>19-Aug-2024</c:v>
                      </c:pt>
                      <c:pt idx="48">
                        <c:v>26-Aug-2024</c:v>
                      </c:pt>
                      <c:pt idx="49">
                        <c:v>02-Sept-2024</c:v>
                      </c:pt>
                      <c:pt idx="50">
                        <c:v>09-Sept-2024</c:v>
                      </c:pt>
                      <c:pt idx="51">
                        <c:v>16-Sept-2024</c:v>
                      </c:pt>
                      <c:pt idx="52">
                        <c:v>23-Sept-2024</c:v>
                      </c:pt>
                      <c:pt idx="53">
                        <c:v>30-Sept-2024</c:v>
                      </c:pt>
                      <c:pt idx="54">
                        <c:v>07-Oct-2024</c:v>
                      </c:pt>
                      <c:pt idx="55">
                        <c:v>14-Oct-2024</c:v>
                      </c:pt>
                      <c:pt idx="56">
                        <c:v>21-Oct-2024</c:v>
                      </c:pt>
                      <c:pt idx="57">
                        <c:v>28-Oct-2024</c:v>
                      </c:pt>
                      <c:pt idx="58">
                        <c:v>04-Nov-2024</c:v>
                      </c:pt>
                      <c:pt idx="59">
                        <c:v>11-Nov-2024</c:v>
                      </c:pt>
                      <c:pt idx="60">
                        <c:v>18-Nov-2024</c:v>
                      </c:pt>
                      <c:pt idx="61">
                        <c:v>25-Nov-2024</c:v>
                      </c:pt>
                      <c:pt idx="62">
                        <c:v>02-Dec-2024</c:v>
                      </c:pt>
                      <c:pt idx="63">
                        <c:v>09-Dec-2024</c:v>
                      </c:pt>
                      <c:pt idx="64">
                        <c:v>16-Dec-2024</c:v>
                      </c:pt>
                      <c:pt idx="65">
                        <c:v>23-Dec-2024</c:v>
                      </c:pt>
                      <c:pt idx="66">
                        <c:v>30-Dec-2024</c:v>
                      </c:pt>
                      <c:pt idx="67">
                        <c:v>06-Jan-2025</c:v>
                      </c:pt>
                      <c:pt idx="68">
                        <c:v>13-Jan-2025</c:v>
                      </c:pt>
                      <c:pt idx="69">
                        <c:v>20-Jan-2025</c:v>
                      </c:pt>
                      <c:pt idx="70">
                        <c:v>27-Jan-2025</c:v>
                      </c:pt>
                      <c:pt idx="71">
                        <c:v>03-Feb-2025</c:v>
                      </c:pt>
                      <c:pt idx="72">
                        <c:v>10-Feb-2025</c:v>
                      </c:pt>
                      <c:pt idx="73">
                        <c:v>17-Feb-2025</c:v>
                      </c:pt>
                      <c:pt idx="74">
                        <c:v>24-Feb-2025</c:v>
                      </c:pt>
                      <c:pt idx="75">
                        <c:v>03-Mar-2025</c:v>
                      </c:pt>
                      <c:pt idx="76">
                        <c:v>10-Mar-2025</c:v>
                      </c:pt>
                      <c:pt idx="77">
                        <c:v>17-Mar-2025</c:v>
                      </c:pt>
                      <c:pt idx="78">
                        <c:v>24-Mar-2025</c:v>
                      </c:pt>
                      <c:pt idx="79">
                        <c:v>31-Mar-2025</c:v>
                      </c:pt>
                      <c:pt idx="80">
                        <c:v>07-Apr-2025</c:v>
                      </c:pt>
                      <c:pt idx="81">
                        <c:v>14-Apr-2025</c:v>
                      </c:pt>
                      <c:pt idx="82">
                        <c:v>21-Apr-2025</c:v>
                      </c:pt>
                      <c:pt idx="83">
                        <c:v>28-Apr-2025</c:v>
                      </c:pt>
                      <c:pt idx="84">
                        <c:v>05-May-2025</c:v>
                      </c:pt>
                      <c:pt idx="85">
                        <c:v>12-May-2025</c:v>
                      </c:pt>
                      <c:pt idx="86">
                        <c:v>19-May-2025</c:v>
                      </c:pt>
                      <c:pt idx="87">
                        <c:v>26-May-2025</c:v>
                      </c:pt>
                      <c:pt idx="88">
                        <c:v>02-Jun-2025</c:v>
                      </c:pt>
                      <c:pt idx="89">
                        <c:v>09-Jun-2025</c:v>
                      </c:pt>
                      <c:pt idx="90">
                        <c:v>16-Jun-2025</c:v>
                      </c:pt>
                      <c:pt idx="91">
                        <c:v>23-Jun-2025</c:v>
                      </c:pt>
                      <c:pt idx="92">
                        <c:v>30-Jun-2025</c:v>
                      </c:pt>
                      <c:pt idx="93">
                        <c:v>07-Jul-2025</c:v>
                      </c:pt>
                      <c:pt idx="94">
                        <c:v>14-Jul-2025</c:v>
                      </c:pt>
                      <c:pt idx="95">
                        <c:v>21-Jul-2025</c:v>
                      </c:pt>
                      <c:pt idx="96">
                        <c:v>28-Jul-2025</c:v>
                      </c:pt>
                      <c:pt idx="97">
                        <c:v>04-Aug-2025</c:v>
                      </c:pt>
                      <c:pt idx="98">
                        <c:v>11-Aug-2025</c:v>
                      </c:pt>
                      <c:pt idx="99">
                        <c:v>18-Aug-2025</c:v>
                      </c:pt>
                      <c:pt idx="100">
                        <c:v>25-Aug-2025</c:v>
                      </c:pt>
                      <c:pt idx="101">
                        <c:v>01-Sept-2025</c:v>
                      </c:pt>
                      <c:pt idx="102">
                        <c:v>08-Sept-2025</c:v>
                      </c:pt>
                      <c:pt idx="103">
                        <c:v>15-Sept-2025</c:v>
                      </c:pt>
                      <c:pt idx="104">
                        <c:v>22-Sept-2025</c:v>
                      </c:pt>
                      <c:pt idx="105">
                        <c:v>29-Sept-2025</c:v>
                      </c:pt>
                      <c:pt idx="106">
                        <c:v>06-Oct-2025</c:v>
                      </c:pt>
                      <c:pt idx="107">
                        <c:v>13-Oct-2025</c:v>
                      </c:pt>
                      <c:pt idx="108">
                        <c:v>20-Oct-2025</c:v>
                      </c:pt>
                      <c:pt idx="109">
                        <c:v>27-Oct-2025</c:v>
                      </c:pt>
                      <c:pt idx="110">
                        <c:v>03-Nov-2025</c:v>
                      </c:pt>
                      <c:pt idx="111">
                        <c:v>10-Nov-2025</c:v>
                      </c:pt>
                      <c:pt idx="112">
                        <c:v>17-Nov-2025</c:v>
                      </c:pt>
                      <c:pt idx="113">
                        <c:v>24-Nov-2025</c:v>
                      </c:pt>
                      <c:pt idx="114">
                        <c:v>01-Dec-2025</c:v>
                      </c:pt>
                      <c:pt idx="115">
                        <c:v>08-Dec-2025</c:v>
                      </c:pt>
                      <c:pt idx="116">
                        <c:v>15-Dec-2025</c:v>
                      </c:pt>
                      <c:pt idx="117">
                        <c:v>22-Dec-2025</c:v>
                      </c:pt>
                      <c:pt idx="118">
                        <c:v>29-Dec-2025</c:v>
                      </c:pt>
                      <c:pt idx="119">
                        <c:v>05-Jan-2026</c:v>
                      </c:pt>
                      <c:pt idx="120">
                        <c:v>12-Jan-2026</c:v>
                      </c:pt>
                      <c:pt idx="121">
                        <c:v>19-Jan-2026</c:v>
                      </c:pt>
                      <c:pt idx="122">
                        <c:v>26-Jan-2026</c:v>
                      </c:pt>
                      <c:pt idx="123">
                        <c:v>02-Feb-2026</c:v>
                      </c:pt>
                      <c:pt idx="124">
                        <c:v>09-Feb-2026</c:v>
                      </c:pt>
                      <c:pt idx="125">
                        <c:v>16-Feb-2026</c:v>
                      </c:pt>
                      <c:pt idx="126">
                        <c:v>23-Feb-2026</c:v>
                      </c:pt>
                      <c:pt idx="127">
                        <c:v>02-Mar-2026</c:v>
                      </c:pt>
                      <c:pt idx="128">
                        <c:v>09-Mar-2026</c:v>
                      </c:pt>
                      <c:pt idx="129">
                        <c:v>16-Mar-2026</c:v>
                      </c:pt>
                      <c:pt idx="130">
                        <c:v>23-Mar-2026</c:v>
                      </c:pt>
                      <c:pt idx="131">
                        <c:v>30-Mar-2026</c:v>
                      </c:pt>
                      <c:pt idx="132">
                        <c:v>06-Apr-2026</c:v>
                      </c:pt>
                      <c:pt idx="133">
                        <c:v>13-Apr-2026</c:v>
                      </c:pt>
                      <c:pt idx="134">
                        <c:v>20-Apr-2026</c:v>
                      </c:pt>
                      <c:pt idx="135">
                        <c:v>27-Apr-2026</c:v>
                      </c:pt>
                      <c:pt idx="136">
                        <c:v>04-May-2026</c:v>
                      </c:pt>
                      <c:pt idx="137">
                        <c:v>11-May-2026</c:v>
                      </c:pt>
                      <c:pt idx="138">
                        <c:v>18-May-2026</c:v>
                      </c:pt>
                      <c:pt idx="139">
                        <c:v>25-May-2026</c:v>
                      </c:pt>
                      <c:pt idx="140">
                        <c:v>01-Jun-2026</c:v>
                      </c:pt>
                      <c:pt idx="141">
                        <c:v>08-Jun-2026</c:v>
                      </c:pt>
                      <c:pt idx="142">
                        <c:v>15-Jun-2026</c:v>
                      </c:pt>
                      <c:pt idx="143">
                        <c:v>22-Jun-2026</c:v>
                      </c:pt>
                      <c:pt idx="144">
                        <c:v>29-Jun-2026</c:v>
                      </c:pt>
                      <c:pt idx="145">
                        <c:v>06-Jul-2026</c:v>
                      </c:pt>
                      <c:pt idx="146">
                        <c:v>13-Jul-2026</c:v>
                      </c:pt>
                      <c:pt idx="147">
                        <c:v>20-Jul-2026</c:v>
                      </c:pt>
                      <c:pt idx="148">
                        <c:v>27-Jul-2026</c:v>
                      </c:pt>
                      <c:pt idx="149">
                        <c:v>03-Aug-2026</c:v>
                      </c:pt>
                      <c:pt idx="150">
                        <c:v>10-Aug-2026</c:v>
                      </c:pt>
                      <c:pt idx="151">
                        <c:v>17-Aug-2026</c:v>
                      </c:pt>
                      <c:pt idx="152">
                        <c:v>24-Aug-2026</c:v>
                      </c:pt>
                      <c:pt idx="153">
                        <c:v>31-Aug-2026</c:v>
                      </c:pt>
                      <c:pt idx="154">
                        <c:v>07-Sept-2026</c:v>
                      </c:pt>
                      <c:pt idx="155">
                        <c:v>14-Sept-2026</c:v>
                      </c:pt>
                      <c:pt idx="156">
                        <c:v>21-Sept-2026</c:v>
                      </c:pt>
                    </c:strCache>
                  </c:strRef>
                </c:cat>
                <c:val>
                  <c:numRef>
                    <c:extLst>
                      <c:ext uri="{02D57815-91ED-43cb-92C2-25804820EDAC}">
                        <c15:formulaRef>
                          <c15:sqref>Dataset!$C$6:$C$161</c15:sqref>
                        </c15:formulaRef>
                      </c:ext>
                    </c:extLst>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0-2540-49E6-B3FA-7F26B0F7E2E7}"/>
                  </c:ext>
                </c:extLst>
              </c15:ser>
            </c15:filteredLineSeries>
          </c:ext>
        </c:extLst>
      </c:lineChart>
      <c:catAx>
        <c:axId val="138725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60650096"/>
        <c:crosses val="autoZero"/>
        <c:auto val="1"/>
        <c:lblAlgn val="ctr"/>
        <c:lblOffset val="100"/>
        <c:noMultiLvlLbl val="0"/>
      </c:catAx>
      <c:valAx>
        <c:axId val="760650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87252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lotArea>
      <c:layout>
        <c:manualLayout>
          <c:layoutTarget val="inner"/>
          <c:xMode val="edge"/>
          <c:yMode val="edge"/>
          <c:x val="5.1250298372965283E-2"/>
          <c:y val="0.19206797758942706"/>
          <c:w val="0.92524993940021949"/>
          <c:h val="0.59452315842232062"/>
        </c:manualLayout>
      </c:layout>
      <c:lineChart>
        <c:grouping val="standard"/>
        <c:varyColors val="0"/>
        <c:ser>
          <c:idx val="1"/>
          <c:order val="1"/>
          <c:tx>
            <c:strRef>
              <c:f>Dataset!$D$5</c:f>
              <c:strCache>
                <c:ptCount val="1"/>
                <c:pt idx="0">
                  <c:v>Actual_Demand</c:v>
                </c:pt>
              </c:strCache>
            </c:strRef>
          </c:tx>
          <c:spPr>
            <a:ln w="28575" cap="rnd">
              <a:solidFill>
                <a:schemeClr val="accent2"/>
              </a:solidFill>
              <a:round/>
            </a:ln>
            <a:effectLst/>
          </c:spPr>
          <c:marker>
            <c:symbol val="none"/>
          </c:marker>
          <c:dLbls>
            <c:dLbl>
              <c:idx val="22"/>
              <c:tx>
                <c:rich>
                  <a:bodyPr/>
                  <a:lstStyle/>
                  <a:p>
                    <a:r>
                      <a:rPr lang="en-US"/>
                      <a:t>RAMADAN STOCKING AND PROMOTION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A6A-4E8C-9556-D770F32EB732}"/>
                </c:ext>
              </c:extLst>
            </c:dLbl>
            <c:dLbl>
              <c:idx val="87"/>
              <c:tx>
                <c:rich>
                  <a:bodyPr/>
                  <a:lstStyle/>
                  <a:p>
                    <a:r>
                      <a:rPr lang="en-US"/>
                      <a:t>EID</a:t>
                    </a:r>
                    <a:r>
                      <a:rPr lang="en-US" baseline="0"/>
                      <a:t> ul ADHA PROMOTION</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A6A-4E8C-9556-D770F32EB732}"/>
                </c:ext>
              </c:extLst>
            </c:dLbl>
            <c:dLbl>
              <c:idx val="130"/>
              <c:tx>
                <c:rich>
                  <a:bodyPr/>
                  <a:lstStyle/>
                  <a:p>
                    <a:r>
                      <a:rPr lang="en-US"/>
                      <a:t>PACKAGING</a:t>
                    </a:r>
                    <a:r>
                      <a:rPr lang="en-US" baseline="0"/>
                      <a:t> DELAY</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A6A-4E8C-9556-D770F32EB7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1"/>
            <c:trendlineLbl>
              <c:layout>
                <c:manualLayout>
                  <c:x val="-4.5477395936018234E-3"/>
                  <c:y val="-0.29009808379464375"/>
                </c:manualLayout>
              </c:layout>
              <c:numFmt formatCode="General" sourceLinked="0"/>
              <c:spPr>
                <a:noFill/>
                <a:ln>
                  <a:noFill/>
                </a:ln>
                <a:effectLst/>
              </c:spPr>
              <c:txPr>
                <a:bodyPr rot="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PK"/>
                </a:p>
              </c:txPr>
            </c:trendlineLbl>
          </c:trendline>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movingAvg"/>
            <c:period val="2"/>
            <c:dispRSqr val="0"/>
            <c:dispEq val="0"/>
          </c:trendline>
          <c:cat>
            <c:strRef>
              <c:f>Dataset!$A$5:$A$161</c:f>
              <c:strCache>
                <c:ptCount val="157"/>
                <c:pt idx="0">
                  <c:v>Week_Start_Date</c:v>
                </c:pt>
                <c:pt idx="1">
                  <c:v>02-Oct-2023</c:v>
                </c:pt>
                <c:pt idx="2">
                  <c:v>09-Oct-2023</c:v>
                </c:pt>
                <c:pt idx="3">
                  <c:v>16-Oct-2023</c:v>
                </c:pt>
                <c:pt idx="4">
                  <c:v>23-Oct-2023</c:v>
                </c:pt>
                <c:pt idx="5">
                  <c:v>30-Oct-2023</c:v>
                </c:pt>
                <c:pt idx="6">
                  <c:v>06-Nov-2023</c:v>
                </c:pt>
                <c:pt idx="7">
                  <c:v>13-Nov-2023</c:v>
                </c:pt>
                <c:pt idx="8">
                  <c:v>20-Nov-2023</c:v>
                </c:pt>
                <c:pt idx="9">
                  <c:v>27-Nov-2023</c:v>
                </c:pt>
                <c:pt idx="10">
                  <c:v>04-Dec-2023</c:v>
                </c:pt>
                <c:pt idx="11">
                  <c:v>11-Dec-2023</c:v>
                </c:pt>
                <c:pt idx="12">
                  <c:v>18-Dec-2023</c:v>
                </c:pt>
                <c:pt idx="13">
                  <c:v>25-Dec-2023</c:v>
                </c:pt>
                <c:pt idx="14">
                  <c:v>01-Jan-2024</c:v>
                </c:pt>
                <c:pt idx="15">
                  <c:v>08-Jan-2024</c:v>
                </c:pt>
                <c:pt idx="16">
                  <c:v>15-Jan-2024</c:v>
                </c:pt>
                <c:pt idx="17">
                  <c:v>22-Jan-2024</c:v>
                </c:pt>
                <c:pt idx="18">
                  <c:v>29-Jan-2024</c:v>
                </c:pt>
                <c:pt idx="19">
                  <c:v>05-Feb-2024</c:v>
                </c:pt>
                <c:pt idx="20">
                  <c:v>12-Feb-2024</c:v>
                </c:pt>
                <c:pt idx="21">
                  <c:v>19-Feb-2024</c:v>
                </c:pt>
                <c:pt idx="22">
                  <c:v>26-Feb-2024</c:v>
                </c:pt>
                <c:pt idx="23">
                  <c:v>04-Mar-2024</c:v>
                </c:pt>
                <c:pt idx="24">
                  <c:v>11-Mar-2024</c:v>
                </c:pt>
                <c:pt idx="25">
                  <c:v>18-Mar-2024</c:v>
                </c:pt>
                <c:pt idx="26">
                  <c:v>25-Mar-2024</c:v>
                </c:pt>
                <c:pt idx="27">
                  <c:v>01-Apr-2024</c:v>
                </c:pt>
                <c:pt idx="28">
                  <c:v>08-Apr-2024</c:v>
                </c:pt>
                <c:pt idx="29">
                  <c:v>15-Apr-2024</c:v>
                </c:pt>
                <c:pt idx="30">
                  <c:v>22-Apr-2024</c:v>
                </c:pt>
                <c:pt idx="31">
                  <c:v>29-Apr-2024</c:v>
                </c:pt>
                <c:pt idx="32">
                  <c:v>06-May-2024</c:v>
                </c:pt>
                <c:pt idx="33">
                  <c:v>13-May-2024</c:v>
                </c:pt>
                <c:pt idx="34">
                  <c:v>20-May-2024</c:v>
                </c:pt>
                <c:pt idx="35">
                  <c:v>27-May-2024</c:v>
                </c:pt>
                <c:pt idx="36">
                  <c:v>03-Jun-2024</c:v>
                </c:pt>
                <c:pt idx="37">
                  <c:v>10-Jun-2024</c:v>
                </c:pt>
                <c:pt idx="38">
                  <c:v>17-Jun-2024</c:v>
                </c:pt>
                <c:pt idx="39">
                  <c:v>24-Jun-2024</c:v>
                </c:pt>
                <c:pt idx="40">
                  <c:v>01-Jul-2024</c:v>
                </c:pt>
                <c:pt idx="41">
                  <c:v>08-Jul-2024</c:v>
                </c:pt>
                <c:pt idx="42">
                  <c:v>15-Jul-2024</c:v>
                </c:pt>
                <c:pt idx="43">
                  <c:v>22-Jul-2024</c:v>
                </c:pt>
                <c:pt idx="44">
                  <c:v>29-Jul-2024</c:v>
                </c:pt>
                <c:pt idx="45">
                  <c:v>05-Aug-2024</c:v>
                </c:pt>
                <c:pt idx="46">
                  <c:v>12-Aug-2024</c:v>
                </c:pt>
                <c:pt idx="47">
                  <c:v>19-Aug-2024</c:v>
                </c:pt>
                <c:pt idx="48">
                  <c:v>26-Aug-2024</c:v>
                </c:pt>
                <c:pt idx="49">
                  <c:v>02-Sept-2024</c:v>
                </c:pt>
                <c:pt idx="50">
                  <c:v>09-Sept-2024</c:v>
                </c:pt>
                <c:pt idx="51">
                  <c:v>16-Sept-2024</c:v>
                </c:pt>
                <c:pt idx="52">
                  <c:v>23-Sept-2024</c:v>
                </c:pt>
                <c:pt idx="53">
                  <c:v>30-Sept-2024</c:v>
                </c:pt>
                <c:pt idx="54">
                  <c:v>07-Oct-2024</c:v>
                </c:pt>
                <c:pt idx="55">
                  <c:v>14-Oct-2024</c:v>
                </c:pt>
                <c:pt idx="56">
                  <c:v>21-Oct-2024</c:v>
                </c:pt>
                <c:pt idx="57">
                  <c:v>28-Oct-2024</c:v>
                </c:pt>
                <c:pt idx="58">
                  <c:v>04-Nov-2024</c:v>
                </c:pt>
                <c:pt idx="59">
                  <c:v>11-Nov-2024</c:v>
                </c:pt>
                <c:pt idx="60">
                  <c:v>18-Nov-2024</c:v>
                </c:pt>
                <c:pt idx="61">
                  <c:v>25-Nov-2024</c:v>
                </c:pt>
                <c:pt idx="62">
                  <c:v>02-Dec-2024</c:v>
                </c:pt>
                <c:pt idx="63">
                  <c:v>09-Dec-2024</c:v>
                </c:pt>
                <c:pt idx="64">
                  <c:v>16-Dec-2024</c:v>
                </c:pt>
                <c:pt idx="65">
                  <c:v>23-Dec-2024</c:v>
                </c:pt>
                <c:pt idx="66">
                  <c:v>30-Dec-2024</c:v>
                </c:pt>
                <c:pt idx="67">
                  <c:v>06-Jan-2025</c:v>
                </c:pt>
                <c:pt idx="68">
                  <c:v>13-Jan-2025</c:v>
                </c:pt>
                <c:pt idx="69">
                  <c:v>20-Jan-2025</c:v>
                </c:pt>
                <c:pt idx="70">
                  <c:v>27-Jan-2025</c:v>
                </c:pt>
                <c:pt idx="71">
                  <c:v>03-Feb-2025</c:v>
                </c:pt>
                <c:pt idx="72">
                  <c:v>10-Feb-2025</c:v>
                </c:pt>
                <c:pt idx="73">
                  <c:v>17-Feb-2025</c:v>
                </c:pt>
                <c:pt idx="74">
                  <c:v>24-Feb-2025</c:v>
                </c:pt>
                <c:pt idx="75">
                  <c:v>03-Mar-2025</c:v>
                </c:pt>
                <c:pt idx="76">
                  <c:v>10-Mar-2025</c:v>
                </c:pt>
                <c:pt idx="77">
                  <c:v>17-Mar-2025</c:v>
                </c:pt>
                <c:pt idx="78">
                  <c:v>24-Mar-2025</c:v>
                </c:pt>
                <c:pt idx="79">
                  <c:v>31-Mar-2025</c:v>
                </c:pt>
                <c:pt idx="80">
                  <c:v>07-Apr-2025</c:v>
                </c:pt>
                <c:pt idx="81">
                  <c:v>14-Apr-2025</c:v>
                </c:pt>
                <c:pt idx="82">
                  <c:v>21-Apr-2025</c:v>
                </c:pt>
                <c:pt idx="83">
                  <c:v>28-Apr-2025</c:v>
                </c:pt>
                <c:pt idx="84">
                  <c:v>05-May-2025</c:v>
                </c:pt>
                <c:pt idx="85">
                  <c:v>12-May-2025</c:v>
                </c:pt>
                <c:pt idx="86">
                  <c:v>19-May-2025</c:v>
                </c:pt>
                <c:pt idx="87">
                  <c:v>26-May-2025</c:v>
                </c:pt>
                <c:pt idx="88">
                  <c:v>02-Jun-2025</c:v>
                </c:pt>
                <c:pt idx="89">
                  <c:v>09-Jun-2025</c:v>
                </c:pt>
                <c:pt idx="90">
                  <c:v>16-Jun-2025</c:v>
                </c:pt>
                <c:pt idx="91">
                  <c:v>23-Jun-2025</c:v>
                </c:pt>
                <c:pt idx="92">
                  <c:v>30-Jun-2025</c:v>
                </c:pt>
                <c:pt idx="93">
                  <c:v>07-Jul-2025</c:v>
                </c:pt>
                <c:pt idx="94">
                  <c:v>14-Jul-2025</c:v>
                </c:pt>
                <c:pt idx="95">
                  <c:v>21-Jul-2025</c:v>
                </c:pt>
                <c:pt idx="96">
                  <c:v>28-Jul-2025</c:v>
                </c:pt>
                <c:pt idx="97">
                  <c:v>04-Aug-2025</c:v>
                </c:pt>
                <c:pt idx="98">
                  <c:v>11-Aug-2025</c:v>
                </c:pt>
                <c:pt idx="99">
                  <c:v>18-Aug-2025</c:v>
                </c:pt>
                <c:pt idx="100">
                  <c:v>25-Aug-2025</c:v>
                </c:pt>
                <c:pt idx="101">
                  <c:v>01-Sept-2025</c:v>
                </c:pt>
                <c:pt idx="102">
                  <c:v>08-Sept-2025</c:v>
                </c:pt>
                <c:pt idx="103">
                  <c:v>15-Sept-2025</c:v>
                </c:pt>
                <c:pt idx="104">
                  <c:v>22-Sept-2025</c:v>
                </c:pt>
                <c:pt idx="105">
                  <c:v>29-Sept-2025</c:v>
                </c:pt>
                <c:pt idx="106">
                  <c:v>06-Oct-2025</c:v>
                </c:pt>
                <c:pt idx="107">
                  <c:v>13-Oct-2025</c:v>
                </c:pt>
                <c:pt idx="108">
                  <c:v>20-Oct-2025</c:v>
                </c:pt>
                <c:pt idx="109">
                  <c:v>27-Oct-2025</c:v>
                </c:pt>
                <c:pt idx="110">
                  <c:v>03-Nov-2025</c:v>
                </c:pt>
                <c:pt idx="111">
                  <c:v>10-Nov-2025</c:v>
                </c:pt>
                <c:pt idx="112">
                  <c:v>17-Nov-2025</c:v>
                </c:pt>
                <c:pt idx="113">
                  <c:v>24-Nov-2025</c:v>
                </c:pt>
                <c:pt idx="114">
                  <c:v>01-Dec-2025</c:v>
                </c:pt>
                <c:pt idx="115">
                  <c:v>08-Dec-2025</c:v>
                </c:pt>
                <c:pt idx="116">
                  <c:v>15-Dec-2025</c:v>
                </c:pt>
                <c:pt idx="117">
                  <c:v>22-Dec-2025</c:v>
                </c:pt>
                <c:pt idx="118">
                  <c:v>29-Dec-2025</c:v>
                </c:pt>
                <c:pt idx="119">
                  <c:v>05-Jan-2026</c:v>
                </c:pt>
                <c:pt idx="120">
                  <c:v>12-Jan-2026</c:v>
                </c:pt>
                <c:pt idx="121">
                  <c:v>19-Jan-2026</c:v>
                </c:pt>
                <c:pt idx="122">
                  <c:v>26-Jan-2026</c:v>
                </c:pt>
                <c:pt idx="123">
                  <c:v>02-Feb-2026</c:v>
                </c:pt>
                <c:pt idx="124">
                  <c:v>09-Feb-2026</c:v>
                </c:pt>
                <c:pt idx="125">
                  <c:v>16-Feb-2026</c:v>
                </c:pt>
                <c:pt idx="126">
                  <c:v>23-Feb-2026</c:v>
                </c:pt>
                <c:pt idx="127">
                  <c:v>02-Mar-2026</c:v>
                </c:pt>
                <c:pt idx="128">
                  <c:v>09-Mar-2026</c:v>
                </c:pt>
                <c:pt idx="129">
                  <c:v>16-Mar-2026</c:v>
                </c:pt>
                <c:pt idx="130">
                  <c:v>23-Mar-2026</c:v>
                </c:pt>
                <c:pt idx="131">
                  <c:v>30-Mar-2026</c:v>
                </c:pt>
                <c:pt idx="132">
                  <c:v>06-Apr-2026</c:v>
                </c:pt>
                <c:pt idx="133">
                  <c:v>13-Apr-2026</c:v>
                </c:pt>
                <c:pt idx="134">
                  <c:v>20-Apr-2026</c:v>
                </c:pt>
                <c:pt idx="135">
                  <c:v>27-Apr-2026</c:v>
                </c:pt>
                <c:pt idx="136">
                  <c:v>04-May-2026</c:v>
                </c:pt>
                <c:pt idx="137">
                  <c:v>11-May-2026</c:v>
                </c:pt>
                <c:pt idx="138">
                  <c:v>18-May-2026</c:v>
                </c:pt>
                <c:pt idx="139">
                  <c:v>25-May-2026</c:v>
                </c:pt>
                <c:pt idx="140">
                  <c:v>01-Jun-2026</c:v>
                </c:pt>
                <c:pt idx="141">
                  <c:v>08-Jun-2026</c:v>
                </c:pt>
                <c:pt idx="142">
                  <c:v>15-Jun-2026</c:v>
                </c:pt>
                <c:pt idx="143">
                  <c:v>22-Jun-2026</c:v>
                </c:pt>
                <c:pt idx="144">
                  <c:v>29-Jun-2026</c:v>
                </c:pt>
                <c:pt idx="145">
                  <c:v>06-Jul-2026</c:v>
                </c:pt>
                <c:pt idx="146">
                  <c:v>13-Jul-2026</c:v>
                </c:pt>
                <c:pt idx="147">
                  <c:v>20-Jul-2026</c:v>
                </c:pt>
                <c:pt idx="148">
                  <c:v>27-Jul-2026</c:v>
                </c:pt>
                <c:pt idx="149">
                  <c:v>03-Aug-2026</c:v>
                </c:pt>
                <c:pt idx="150">
                  <c:v>10-Aug-2026</c:v>
                </c:pt>
                <c:pt idx="151">
                  <c:v>17-Aug-2026</c:v>
                </c:pt>
                <c:pt idx="152">
                  <c:v>24-Aug-2026</c:v>
                </c:pt>
                <c:pt idx="153">
                  <c:v>31-Aug-2026</c:v>
                </c:pt>
                <c:pt idx="154">
                  <c:v>07-Sept-2026</c:v>
                </c:pt>
                <c:pt idx="155">
                  <c:v>14-Sept-2026</c:v>
                </c:pt>
                <c:pt idx="156">
                  <c:v>21-Sept-2026</c:v>
                </c:pt>
              </c:strCache>
            </c:strRef>
          </c:cat>
          <c:val>
            <c:numRef>
              <c:f>Dataset!$D$6:$D$161</c:f>
              <c:numCache>
                <c:formatCode>#,##0</c:formatCode>
                <c:ptCount val="156"/>
                <c:pt idx="0">
                  <c:v>5407</c:v>
                </c:pt>
                <c:pt idx="1">
                  <c:v>5015</c:v>
                </c:pt>
                <c:pt idx="2">
                  <c:v>6458</c:v>
                </c:pt>
                <c:pt idx="3">
                  <c:v>4822</c:v>
                </c:pt>
                <c:pt idx="4">
                  <c:v>5437</c:v>
                </c:pt>
                <c:pt idx="5">
                  <c:v>6526</c:v>
                </c:pt>
                <c:pt idx="6">
                  <c:v>5056</c:v>
                </c:pt>
                <c:pt idx="7">
                  <c:v>4477</c:v>
                </c:pt>
                <c:pt idx="8">
                  <c:v>5429</c:v>
                </c:pt>
                <c:pt idx="9">
                  <c:v>8006</c:v>
                </c:pt>
                <c:pt idx="10">
                  <c:v>5581</c:v>
                </c:pt>
                <c:pt idx="11">
                  <c:v>4396</c:v>
                </c:pt>
                <c:pt idx="12">
                  <c:v>5417</c:v>
                </c:pt>
                <c:pt idx="13">
                  <c:v>5240</c:v>
                </c:pt>
                <c:pt idx="14">
                  <c:v>6097</c:v>
                </c:pt>
                <c:pt idx="15">
                  <c:v>6754</c:v>
                </c:pt>
                <c:pt idx="16">
                  <c:v>4656</c:v>
                </c:pt>
                <c:pt idx="17">
                  <c:v>5237</c:v>
                </c:pt>
                <c:pt idx="18">
                  <c:v>6526</c:v>
                </c:pt>
                <c:pt idx="19">
                  <c:v>4825</c:v>
                </c:pt>
                <c:pt idx="20">
                  <c:v>4825</c:v>
                </c:pt>
                <c:pt idx="21">
                  <c:v>5261</c:v>
                </c:pt>
                <c:pt idx="22">
                  <c:v>9044</c:v>
                </c:pt>
                <c:pt idx="23">
                  <c:v>6293</c:v>
                </c:pt>
                <c:pt idx="24">
                  <c:v>4982</c:v>
                </c:pt>
                <c:pt idx="25">
                  <c:v>5034</c:v>
                </c:pt>
                <c:pt idx="26">
                  <c:v>5977</c:v>
                </c:pt>
                <c:pt idx="27">
                  <c:v>5504</c:v>
                </c:pt>
                <c:pt idx="28">
                  <c:v>7231</c:v>
                </c:pt>
                <c:pt idx="29">
                  <c:v>5202</c:v>
                </c:pt>
                <c:pt idx="30">
                  <c:v>4779</c:v>
                </c:pt>
                <c:pt idx="31">
                  <c:v>6066</c:v>
                </c:pt>
                <c:pt idx="32">
                  <c:v>5499</c:v>
                </c:pt>
                <c:pt idx="33">
                  <c:v>5131</c:v>
                </c:pt>
                <c:pt idx="34">
                  <c:v>4775</c:v>
                </c:pt>
                <c:pt idx="35">
                  <c:v>5943</c:v>
                </c:pt>
                <c:pt idx="36">
                  <c:v>5556</c:v>
                </c:pt>
                <c:pt idx="37">
                  <c:v>5235</c:v>
                </c:pt>
                <c:pt idx="38">
                  <c:v>5009</c:v>
                </c:pt>
                <c:pt idx="39">
                  <c:v>5126</c:v>
                </c:pt>
                <c:pt idx="40">
                  <c:v>4409</c:v>
                </c:pt>
                <c:pt idx="41">
                  <c:v>6686</c:v>
                </c:pt>
                <c:pt idx="42">
                  <c:v>4320</c:v>
                </c:pt>
                <c:pt idx="43">
                  <c:v>4468</c:v>
                </c:pt>
                <c:pt idx="44">
                  <c:v>4875</c:v>
                </c:pt>
                <c:pt idx="45">
                  <c:v>4287</c:v>
                </c:pt>
                <c:pt idx="46">
                  <c:v>5676</c:v>
                </c:pt>
                <c:pt idx="47">
                  <c:v>5543</c:v>
                </c:pt>
                <c:pt idx="48">
                  <c:v>5986</c:v>
                </c:pt>
                <c:pt idx="49">
                  <c:v>5184</c:v>
                </c:pt>
                <c:pt idx="50">
                  <c:v>5454</c:v>
                </c:pt>
                <c:pt idx="51">
                  <c:v>4799</c:v>
                </c:pt>
                <c:pt idx="52">
                  <c:v>5358</c:v>
                </c:pt>
                <c:pt idx="53">
                  <c:v>6222</c:v>
                </c:pt>
                <c:pt idx="54">
                  <c:v>7222</c:v>
                </c:pt>
                <c:pt idx="55">
                  <c:v>5214</c:v>
                </c:pt>
                <c:pt idx="56">
                  <c:v>5458</c:v>
                </c:pt>
                <c:pt idx="57">
                  <c:v>5335</c:v>
                </c:pt>
                <c:pt idx="58">
                  <c:v>4779</c:v>
                </c:pt>
                <c:pt idx="59">
                  <c:v>5223</c:v>
                </c:pt>
                <c:pt idx="60">
                  <c:v>4941</c:v>
                </c:pt>
                <c:pt idx="61">
                  <c:v>7721</c:v>
                </c:pt>
                <c:pt idx="62">
                  <c:v>5179</c:v>
                </c:pt>
                <c:pt idx="63">
                  <c:v>5240</c:v>
                </c:pt>
                <c:pt idx="64">
                  <c:v>5399</c:v>
                </c:pt>
                <c:pt idx="65">
                  <c:v>5258</c:v>
                </c:pt>
                <c:pt idx="66">
                  <c:v>5143</c:v>
                </c:pt>
                <c:pt idx="67">
                  <c:v>6114</c:v>
                </c:pt>
                <c:pt idx="68">
                  <c:v>5163</c:v>
                </c:pt>
                <c:pt idx="69">
                  <c:v>4597</c:v>
                </c:pt>
                <c:pt idx="70">
                  <c:v>6075</c:v>
                </c:pt>
                <c:pt idx="71">
                  <c:v>5157</c:v>
                </c:pt>
                <c:pt idx="72">
                  <c:v>6029</c:v>
                </c:pt>
                <c:pt idx="73">
                  <c:v>6460</c:v>
                </c:pt>
                <c:pt idx="74">
                  <c:v>7510</c:v>
                </c:pt>
                <c:pt idx="75">
                  <c:v>5817</c:v>
                </c:pt>
                <c:pt idx="76">
                  <c:v>5263</c:v>
                </c:pt>
                <c:pt idx="77">
                  <c:v>6535</c:v>
                </c:pt>
                <c:pt idx="78">
                  <c:v>6183</c:v>
                </c:pt>
                <c:pt idx="79">
                  <c:v>4790</c:v>
                </c:pt>
                <c:pt idx="80">
                  <c:v>7488</c:v>
                </c:pt>
                <c:pt idx="81">
                  <c:v>4991</c:v>
                </c:pt>
                <c:pt idx="82">
                  <c:v>4989</c:v>
                </c:pt>
                <c:pt idx="83">
                  <c:v>6120</c:v>
                </c:pt>
                <c:pt idx="84">
                  <c:v>6765</c:v>
                </c:pt>
                <c:pt idx="85">
                  <c:v>5766</c:v>
                </c:pt>
                <c:pt idx="86">
                  <c:v>5349</c:v>
                </c:pt>
                <c:pt idx="87">
                  <c:v>8791</c:v>
                </c:pt>
                <c:pt idx="88">
                  <c:v>5405</c:v>
                </c:pt>
                <c:pt idx="89">
                  <c:v>5269</c:v>
                </c:pt>
                <c:pt idx="90">
                  <c:v>4999</c:v>
                </c:pt>
                <c:pt idx="91">
                  <c:v>5246</c:v>
                </c:pt>
                <c:pt idx="92">
                  <c:v>5263</c:v>
                </c:pt>
                <c:pt idx="93">
                  <c:v>8135</c:v>
                </c:pt>
                <c:pt idx="94">
                  <c:v>5465</c:v>
                </c:pt>
                <c:pt idx="95">
                  <c:v>5625</c:v>
                </c:pt>
                <c:pt idx="96">
                  <c:v>6873</c:v>
                </c:pt>
                <c:pt idx="97">
                  <c:v>5866</c:v>
                </c:pt>
                <c:pt idx="98">
                  <c:v>5168</c:v>
                </c:pt>
                <c:pt idx="99">
                  <c:v>5833</c:v>
                </c:pt>
                <c:pt idx="100">
                  <c:v>7200</c:v>
                </c:pt>
                <c:pt idx="101">
                  <c:v>5729</c:v>
                </c:pt>
                <c:pt idx="102">
                  <c:v>5870</c:v>
                </c:pt>
                <c:pt idx="103">
                  <c:v>5720</c:v>
                </c:pt>
                <c:pt idx="104">
                  <c:v>4820</c:v>
                </c:pt>
                <c:pt idx="105">
                  <c:v>6649</c:v>
                </c:pt>
                <c:pt idx="106">
                  <c:v>5874</c:v>
                </c:pt>
                <c:pt idx="107">
                  <c:v>5350</c:v>
                </c:pt>
                <c:pt idx="108">
                  <c:v>5570</c:v>
                </c:pt>
                <c:pt idx="109">
                  <c:v>6840</c:v>
                </c:pt>
                <c:pt idx="110">
                  <c:v>5589</c:v>
                </c:pt>
                <c:pt idx="111">
                  <c:v>5854</c:v>
                </c:pt>
                <c:pt idx="112">
                  <c:v>5305</c:v>
                </c:pt>
                <c:pt idx="113">
                  <c:v>7305</c:v>
                </c:pt>
                <c:pt idx="114">
                  <c:v>5307</c:v>
                </c:pt>
                <c:pt idx="115">
                  <c:v>5573</c:v>
                </c:pt>
                <c:pt idx="116">
                  <c:v>5645</c:v>
                </c:pt>
                <c:pt idx="117">
                  <c:v>5305</c:v>
                </c:pt>
                <c:pt idx="118">
                  <c:v>5756</c:v>
                </c:pt>
                <c:pt idx="119">
                  <c:v>6280</c:v>
                </c:pt>
                <c:pt idx="120">
                  <c:v>5610</c:v>
                </c:pt>
                <c:pt idx="121">
                  <c:v>5307</c:v>
                </c:pt>
                <c:pt idx="122">
                  <c:v>7601</c:v>
                </c:pt>
                <c:pt idx="123">
                  <c:v>6406</c:v>
                </c:pt>
                <c:pt idx="124">
                  <c:v>7041</c:v>
                </c:pt>
                <c:pt idx="125">
                  <c:v>5687</c:v>
                </c:pt>
                <c:pt idx="126">
                  <c:v>7453</c:v>
                </c:pt>
                <c:pt idx="127">
                  <c:v>5805</c:v>
                </c:pt>
                <c:pt idx="128">
                  <c:v>6801</c:v>
                </c:pt>
                <c:pt idx="129">
                  <c:v>5213</c:v>
                </c:pt>
                <c:pt idx="130">
                  <c:v>3974</c:v>
                </c:pt>
                <c:pt idx="131">
                  <c:v>4003</c:v>
                </c:pt>
                <c:pt idx="132">
                  <c:v>5860</c:v>
                </c:pt>
                <c:pt idx="133">
                  <c:v>5228</c:v>
                </c:pt>
                <c:pt idx="134">
                  <c:v>5145</c:v>
                </c:pt>
                <c:pt idx="135">
                  <c:v>7313</c:v>
                </c:pt>
                <c:pt idx="136">
                  <c:v>5880</c:v>
                </c:pt>
                <c:pt idx="137">
                  <c:v>6012</c:v>
                </c:pt>
                <c:pt idx="138">
                  <c:v>6199</c:v>
                </c:pt>
                <c:pt idx="139">
                  <c:v>6877</c:v>
                </c:pt>
                <c:pt idx="140">
                  <c:v>5447</c:v>
                </c:pt>
                <c:pt idx="141">
                  <c:v>4877</c:v>
                </c:pt>
                <c:pt idx="142">
                  <c:v>5575</c:v>
                </c:pt>
                <c:pt idx="143">
                  <c:v>5856</c:v>
                </c:pt>
                <c:pt idx="144">
                  <c:v>5229</c:v>
                </c:pt>
                <c:pt idx="145">
                  <c:v>6997</c:v>
                </c:pt>
                <c:pt idx="146">
                  <c:v>5349</c:v>
                </c:pt>
                <c:pt idx="147">
                  <c:v>5430</c:v>
                </c:pt>
                <c:pt idx="148">
                  <c:v>6448</c:v>
                </c:pt>
                <c:pt idx="149">
                  <c:v>4787</c:v>
                </c:pt>
                <c:pt idx="150">
                  <c:v>5294</c:v>
                </c:pt>
                <c:pt idx="151">
                  <c:v>4083</c:v>
                </c:pt>
                <c:pt idx="152">
                  <c:v>5597</c:v>
                </c:pt>
                <c:pt idx="153">
                  <c:v>4766</c:v>
                </c:pt>
                <c:pt idx="154">
                  <c:v>5375</c:v>
                </c:pt>
                <c:pt idx="155">
                  <c:v>5421</c:v>
                </c:pt>
              </c:numCache>
            </c:numRef>
          </c:val>
          <c:smooth val="0"/>
          <c:extLst>
            <c:ext xmlns:c16="http://schemas.microsoft.com/office/drawing/2014/chart" uri="{C3380CC4-5D6E-409C-BE32-E72D297353CC}">
              <c16:uniqueId val="{00000000-0A6A-4E8C-9556-D770F32EB732}"/>
            </c:ext>
          </c:extLst>
        </c:ser>
        <c:dLbls>
          <c:showLegendKey val="0"/>
          <c:showVal val="0"/>
          <c:showCatName val="0"/>
          <c:showSerName val="0"/>
          <c:showPercent val="0"/>
          <c:showBubbleSize val="0"/>
        </c:dLbls>
        <c:smooth val="0"/>
        <c:axId val="1387252704"/>
        <c:axId val="760650096"/>
        <c:extLst>
          <c:ext xmlns:c15="http://schemas.microsoft.com/office/drawing/2012/chart" uri="{02D57815-91ED-43cb-92C2-25804820EDAC}">
            <c15:filteredLineSeries>
              <c15:ser>
                <c:idx val="0"/>
                <c:order val="0"/>
                <c:tx>
                  <c:strRef>
                    <c:extLst>
                      <c:ext uri="{02D57815-91ED-43cb-92C2-25804820EDAC}">
                        <c15:formulaRef>
                          <c15:sqref>Dataset!$C$5</c15:sqref>
                        </c15:formulaRef>
                      </c:ext>
                    </c:extLst>
                    <c:strCache>
                      <c:ptCount val="1"/>
                      <c:pt idx="0">
                        <c:v>Market_Channel</c:v>
                      </c:pt>
                    </c:strCache>
                  </c:strRef>
                </c:tx>
                <c:spPr>
                  <a:ln w="28575" cap="rnd">
                    <a:solidFill>
                      <a:schemeClr val="accent1"/>
                    </a:solidFill>
                    <a:round/>
                  </a:ln>
                  <a:effectLst/>
                </c:spPr>
                <c:marker>
                  <c:symbol val="none"/>
                </c:marker>
                <c:cat>
                  <c:strRef>
                    <c:extLst>
                      <c:ext uri="{02D57815-91ED-43cb-92C2-25804820EDAC}">
                        <c15:formulaRef>
                          <c15:sqref>Dataset!$A$5:$A$161</c15:sqref>
                        </c15:formulaRef>
                      </c:ext>
                    </c:extLst>
                    <c:strCache>
                      <c:ptCount val="157"/>
                      <c:pt idx="0">
                        <c:v>Week_Start_Date</c:v>
                      </c:pt>
                      <c:pt idx="1">
                        <c:v>02-Oct-2023</c:v>
                      </c:pt>
                      <c:pt idx="2">
                        <c:v>09-Oct-2023</c:v>
                      </c:pt>
                      <c:pt idx="3">
                        <c:v>16-Oct-2023</c:v>
                      </c:pt>
                      <c:pt idx="4">
                        <c:v>23-Oct-2023</c:v>
                      </c:pt>
                      <c:pt idx="5">
                        <c:v>30-Oct-2023</c:v>
                      </c:pt>
                      <c:pt idx="6">
                        <c:v>06-Nov-2023</c:v>
                      </c:pt>
                      <c:pt idx="7">
                        <c:v>13-Nov-2023</c:v>
                      </c:pt>
                      <c:pt idx="8">
                        <c:v>20-Nov-2023</c:v>
                      </c:pt>
                      <c:pt idx="9">
                        <c:v>27-Nov-2023</c:v>
                      </c:pt>
                      <c:pt idx="10">
                        <c:v>04-Dec-2023</c:v>
                      </c:pt>
                      <c:pt idx="11">
                        <c:v>11-Dec-2023</c:v>
                      </c:pt>
                      <c:pt idx="12">
                        <c:v>18-Dec-2023</c:v>
                      </c:pt>
                      <c:pt idx="13">
                        <c:v>25-Dec-2023</c:v>
                      </c:pt>
                      <c:pt idx="14">
                        <c:v>01-Jan-2024</c:v>
                      </c:pt>
                      <c:pt idx="15">
                        <c:v>08-Jan-2024</c:v>
                      </c:pt>
                      <c:pt idx="16">
                        <c:v>15-Jan-2024</c:v>
                      </c:pt>
                      <c:pt idx="17">
                        <c:v>22-Jan-2024</c:v>
                      </c:pt>
                      <c:pt idx="18">
                        <c:v>29-Jan-2024</c:v>
                      </c:pt>
                      <c:pt idx="19">
                        <c:v>05-Feb-2024</c:v>
                      </c:pt>
                      <c:pt idx="20">
                        <c:v>12-Feb-2024</c:v>
                      </c:pt>
                      <c:pt idx="21">
                        <c:v>19-Feb-2024</c:v>
                      </c:pt>
                      <c:pt idx="22">
                        <c:v>26-Feb-2024</c:v>
                      </c:pt>
                      <c:pt idx="23">
                        <c:v>04-Mar-2024</c:v>
                      </c:pt>
                      <c:pt idx="24">
                        <c:v>11-Mar-2024</c:v>
                      </c:pt>
                      <c:pt idx="25">
                        <c:v>18-Mar-2024</c:v>
                      </c:pt>
                      <c:pt idx="26">
                        <c:v>25-Mar-2024</c:v>
                      </c:pt>
                      <c:pt idx="27">
                        <c:v>01-Apr-2024</c:v>
                      </c:pt>
                      <c:pt idx="28">
                        <c:v>08-Apr-2024</c:v>
                      </c:pt>
                      <c:pt idx="29">
                        <c:v>15-Apr-2024</c:v>
                      </c:pt>
                      <c:pt idx="30">
                        <c:v>22-Apr-2024</c:v>
                      </c:pt>
                      <c:pt idx="31">
                        <c:v>29-Apr-2024</c:v>
                      </c:pt>
                      <c:pt idx="32">
                        <c:v>06-May-2024</c:v>
                      </c:pt>
                      <c:pt idx="33">
                        <c:v>13-May-2024</c:v>
                      </c:pt>
                      <c:pt idx="34">
                        <c:v>20-May-2024</c:v>
                      </c:pt>
                      <c:pt idx="35">
                        <c:v>27-May-2024</c:v>
                      </c:pt>
                      <c:pt idx="36">
                        <c:v>03-Jun-2024</c:v>
                      </c:pt>
                      <c:pt idx="37">
                        <c:v>10-Jun-2024</c:v>
                      </c:pt>
                      <c:pt idx="38">
                        <c:v>17-Jun-2024</c:v>
                      </c:pt>
                      <c:pt idx="39">
                        <c:v>24-Jun-2024</c:v>
                      </c:pt>
                      <c:pt idx="40">
                        <c:v>01-Jul-2024</c:v>
                      </c:pt>
                      <c:pt idx="41">
                        <c:v>08-Jul-2024</c:v>
                      </c:pt>
                      <c:pt idx="42">
                        <c:v>15-Jul-2024</c:v>
                      </c:pt>
                      <c:pt idx="43">
                        <c:v>22-Jul-2024</c:v>
                      </c:pt>
                      <c:pt idx="44">
                        <c:v>29-Jul-2024</c:v>
                      </c:pt>
                      <c:pt idx="45">
                        <c:v>05-Aug-2024</c:v>
                      </c:pt>
                      <c:pt idx="46">
                        <c:v>12-Aug-2024</c:v>
                      </c:pt>
                      <c:pt idx="47">
                        <c:v>19-Aug-2024</c:v>
                      </c:pt>
                      <c:pt idx="48">
                        <c:v>26-Aug-2024</c:v>
                      </c:pt>
                      <c:pt idx="49">
                        <c:v>02-Sept-2024</c:v>
                      </c:pt>
                      <c:pt idx="50">
                        <c:v>09-Sept-2024</c:v>
                      </c:pt>
                      <c:pt idx="51">
                        <c:v>16-Sept-2024</c:v>
                      </c:pt>
                      <c:pt idx="52">
                        <c:v>23-Sept-2024</c:v>
                      </c:pt>
                      <c:pt idx="53">
                        <c:v>30-Sept-2024</c:v>
                      </c:pt>
                      <c:pt idx="54">
                        <c:v>07-Oct-2024</c:v>
                      </c:pt>
                      <c:pt idx="55">
                        <c:v>14-Oct-2024</c:v>
                      </c:pt>
                      <c:pt idx="56">
                        <c:v>21-Oct-2024</c:v>
                      </c:pt>
                      <c:pt idx="57">
                        <c:v>28-Oct-2024</c:v>
                      </c:pt>
                      <c:pt idx="58">
                        <c:v>04-Nov-2024</c:v>
                      </c:pt>
                      <c:pt idx="59">
                        <c:v>11-Nov-2024</c:v>
                      </c:pt>
                      <c:pt idx="60">
                        <c:v>18-Nov-2024</c:v>
                      </c:pt>
                      <c:pt idx="61">
                        <c:v>25-Nov-2024</c:v>
                      </c:pt>
                      <c:pt idx="62">
                        <c:v>02-Dec-2024</c:v>
                      </c:pt>
                      <c:pt idx="63">
                        <c:v>09-Dec-2024</c:v>
                      </c:pt>
                      <c:pt idx="64">
                        <c:v>16-Dec-2024</c:v>
                      </c:pt>
                      <c:pt idx="65">
                        <c:v>23-Dec-2024</c:v>
                      </c:pt>
                      <c:pt idx="66">
                        <c:v>30-Dec-2024</c:v>
                      </c:pt>
                      <c:pt idx="67">
                        <c:v>06-Jan-2025</c:v>
                      </c:pt>
                      <c:pt idx="68">
                        <c:v>13-Jan-2025</c:v>
                      </c:pt>
                      <c:pt idx="69">
                        <c:v>20-Jan-2025</c:v>
                      </c:pt>
                      <c:pt idx="70">
                        <c:v>27-Jan-2025</c:v>
                      </c:pt>
                      <c:pt idx="71">
                        <c:v>03-Feb-2025</c:v>
                      </c:pt>
                      <c:pt idx="72">
                        <c:v>10-Feb-2025</c:v>
                      </c:pt>
                      <c:pt idx="73">
                        <c:v>17-Feb-2025</c:v>
                      </c:pt>
                      <c:pt idx="74">
                        <c:v>24-Feb-2025</c:v>
                      </c:pt>
                      <c:pt idx="75">
                        <c:v>03-Mar-2025</c:v>
                      </c:pt>
                      <c:pt idx="76">
                        <c:v>10-Mar-2025</c:v>
                      </c:pt>
                      <c:pt idx="77">
                        <c:v>17-Mar-2025</c:v>
                      </c:pt>
                      <c:pt idx="78">
                        <c:v>24-Mar-2025</c:v>
                      </c:pt>
                      <c:pt idx="79">
                        <c:v>31-Mar-2025</c:v>
                      </c:pt>
                      <c:pt idx="80">
                        <c:v>07-Apr-2025</c:v>
                      </c:pt>
                      <c:pt idx="81">
                        <c:v>14-Apr-2025</c:v>
                      </c:pt>
                      <c:pt idx="82">
                        <c:v>21-Apr-2025</c:v>
                      </c:pt>
                      <c:pt idx="83">
                        <c:v>28-Apr-2025</c:v>
                      </c:pt>
                      <c:pt idx="84">
                        <c:v>05-May-2025</c:v>
                      </c:pt>
                      <c:pt idx="85">
                        <c:v>12-May-2025</c:v>
                      </c:pt>
                      <c:pt idx="86">
                        <c:v>19-May-2025</c:v>
                      </c:pt>
                      <c:pt idx="87">
                        <c:v>26-May-2025</c:v>
                      </c:pt>
                      <c:pt idx="88">
                        <c:v>02-Jun-2025</c:v>
                      </c:pt>
                      <c:pt idx="89">
                        <c:v>09-Jun-2025</c:v>
                      </c:pt>
                      <c:pt idx="90">
                        <c:v>16-Jun-2025</c:v>
                      </c:pt>
                      <c:pt idx="91">
                        <c:v>23-Jun-2025</c:v>
                      </c:pt>
                      <c:pt idx="92">
                        <c:v>30-Jun-2025</c:v>
                      </c:pt>
                      <c:pt idx="93">
                        <c:v>07-Jul-2025</c:v>
                      </c:pt>
                      <c:pt idx="94">
                        <c:v>14-Jul-2025</c:v>
                      </c:pt>
                      <c:pt idx="95">
                        <c:v>21-Jul-2025</c:v>
                      </c:pt>
                      <c:pt idx="96">
                        <c:v>28-Jul-2025</c:v>
                      </c:pt>
                      <c:pt idx="97">
                        <c:v>04-Aug-2025</c:v>
                      </c:pt>
                      <c:pt idx="98">
                        <c:v>11-Aug-2025</c:v>
                      </c:pt>
                      <c:pt idx="99">
                        <c:v>18-Aug-2025</c:v>
                      </c:pt>
                      <c:pt idx="100">
                        <c:v>25-Aug-2025</c:v>
                      </c:pt>
                      <c:pt idx="101">
                        <c:v>01-Sept-2025</c:v>
                      </c:pt>
                      <c:pt idx="102">
                        <c:v>08-Sept-2025</c:v>
                      </c:pt>
                      <c:pt idx="103">
                        <c:v>15-Sept-2025</c:v>
                      </c:pt>
                      <c:pt idx="104">
                        <c:v>22-Sept-2025</c:v>
                      </c:pt>
                      <c:pt idx="105">
                        <c:v>29-Sept-2025</c:v>
                      </c:pt>
                      <c:pt idx="106">
                        <c:v>06-Oct-2025</c:v>
                      </c:pt>
                      <c:pt idx="107">
                        <c:v>13-Oct-2025</c:v>
                      </c:pt>
                      <c:pt idx="108">
                        <c:v>20-Oct-2025</c:v>
                      </c:pt>
                      <c:pt idx="109">
                        <c:v>27-Oct-2025</c:v>
                      </c:pt>
                      <c:pt idx="110">
                        <c:v>03-Nov-2025</c:v>
                      </c:pt>
                      <c:pt idx="111">
                        <c:v>10-Nov-2025</c:v>
                      </c:pt>
                      <c:pt idx="112">
                        <c:v>17-Nov-2025</c:v>
                      </c:pt>
                      <c:pt idx="113">
                        <c:v>24-Nov-2025</c:v>
                      </c:pt>
                      <c:pt idx="114">
                        <c:v>01-Dec-2025</c:v>
                      </c:pt>
                      <c:pt idx="115">
                        <c:v>08-Dec-2025</c:v>
                      </c:pt>
                      <c:pt idx="116">
                        <c:v>15-Dec-2025</c:v>
                      </c:pt>
                      <c:pt idx="117">
                        <c:v>22-Dec-2025</c:v>
                      </c:pt>
                      <c:pt idx="118">
                        <c:v>29-Dec-2025</c:v>
                      </c:pt>
                      <c:pt idx="119">
                        <c:v>05-Jan-2026</c:v>
                      </c:pt>
                      <c:pt idx="120">
                        <c:v>12-Jan-2026</c:v>
                      </c:pt>
                      <c:pt idx="121">
                        <c:v>19-Jan-2026</c:v>
                      </c:pt>
                      <c:pt idx="122">
                        <c:v>26-Jan-2026</c:v>
                      </c:pt>
                      <c:pt idx="123">
                        <c:v>02-Feb-2026</c:v>
                      </c:pt>
                      <c:pt idx="124">
                        <c:v>09-Feb-2026</c:v>
                      </c:pt>
                      <c:pt idx="125">
                        <c:v>16-Feb-2026</c:v>
                      </c:pt>
                      <c:pt idx="126">
                        <c:v>23-Feb-2026</c:v>
                      </c:pt>
                      <c:pt idx="127">
                        <c:v>02-Mar-2026</c:v>
                      </c:pt>
                      <c:pt idx="128">
                        <c:v>09-Mar-2026</c:v>
                      </c:pt>
                      <c:pt idx="129">
                        <c:v>16-Mar-2026</c:v>
                      </c:pt>
                      <c:pt idx="130">
                        <c:v>23-Mar-2026</c:v>
                      </c:pt>
                      <c:pt idx="131">
                        <c:v>30-Mar-2026</c:v>
                      </c:pt>
                      <c:pt idx="132">
                        <c:v>06-Apr-2026</c:v>
                      </c:pt>
                      <c:pt idx="133">
                        <c:v>13-Apr-2026</c:v>
                      </c:pt>
                      <c:pt idx="134">
                        <c:v>20-Apr-2026</c:v>
                      </c:pt>
                      <c:pt idx="135">
                        <c:v>27-Apr-2026</c:v>
                      </c:pt>
                      <c:pt idx="136">
                        <c:v>04-May-2026</c:v>
                      </c:pt>
                      <c:pt idx="137">
                        <c:v>11-May-2026</c:v>
                      </c:pt>
                      <c:pt idx="138">
                        <c:v>18-May-2026</c:v>
                      </c:pt>
                      <c:pt idx="139">
                        <c:v>25-May-2026</c:v>
                      </c:pt>
                      <c:pt idx="140">
                        <c:v>01-Jun-2026</c:v>
                      </c:pt>
                      <c:pt idx="141">
                        <c:v>08-Jun-2026</c:v>
                      </c:pt>
                      <c:pt idx="142">
                        <c:v>15-Jun-2026</c:v>
                      </c:pt>
                      <c:pt idx="143">
                        <c:v>22-Jun-2026</c:v>
                      </c:pt>
                      <c:pt idx="144">
                        <c:v>29-Jun-2026</c:v>
                      </c:pt>
                      <c:pt idx="145">
                        <c:v>06-Jul-2026</c:v>
                      </c:pt>
                      <c:pt idx="146">
                        <c:v>13-Jul-2026</c:v>
                      </c:pt>
                      <c:pt idx="147">
                        <c:v>20-Jul-2026</c:v>
                      </c:pt>
                      <c:pt idx="148">
                        <c:v>27-Jul-2026</c:v>
                      </c:pt>
                      <c:pt idx="149">
                        <c:v>03-Aug-2026</c:v>
                      </c:pt>
                      <c:pt idx="150">
                        <c:v>10-Aug-2026</c:v>
                      </c:pt>
                      <c:pt idx="151">
                        <c:v>17-Aug-2026</c:v>
                      </c:pt>
                      <c:pt idx="152">
                        <c:v>24-Aug-2026</c:v>
                      </c:pt>
                      <c:pt idx="153">
                        <c:v>31-Aug-2026</c:v>
                      </c:pt>
                      <c:pt idx="154">
                        <c:v>07-Sept-2026</c:v>
                      </c:pt>
                      <c:pt idx="155">
                        <c:v>14-Sept-2026</c:v>
                      </c:pt>
                      <c:pt idx="156">
                        <c:v>21-Sept-2026</c:v>
                      </c:pt>
                    </c:strCache>
                  </c:strRef>
                </c:cat>
                <c:val>
                  <c:numRef>
                    <c:extLst>
                      <c:ext uri="{02D57815-91ED-43cb-92C2-25804820EDAC}">
                        <c15:formulaRef>
                          <c15:sqref>Dataset!$C$6:$C$161</c15:sqref>
                        </c15:formulaRef>
                      </c:ext>
                    </c:extLst>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smooth val="0"/>
                <c:extLst>
                  <c:ext xmlns:c16="http://schemas.microsoft.com/office/drawing/2014/chart" uri="{C3380CC4-5D6E-409C-BE32-E72D297353CC}">
                    <c16:uniqueId val="{00000002-0A6A-4E8C-9556-D770F32EB732}"/>
                  </c:ext>
                </c:extLst>
              </c15:ser>
            </c15:filteredLineSeries>
          </c:ext>
        </c:extLst>
      </c:lineChart>
      <c:catAx>
        <c:axId val="138725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60650096"/>
        <c:crosses val="autoZero"/>
        <c:auto val="1"/>
        <c:lblAlgn val="ctr"/>
        <c:lblOffset val="100"/>
        <c:noMultiLvlLbl val="0"/>
      </c:catAx>
      <c:valAx>
        <c:axId val="760650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87252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image" Target="../media/image3.png"/><Relationship Id="rId2" Type="http://schemas.openxmlformats.org/officeDocument/2006/relationships/customXml" Target="../ink/ink1.xml"/><Relationship Id="rId1" Type="http://schemas.openxmlformats.org/officeDocument/2006/relationships/chart" Target="../charts/chart2.xml"/><Relationship Id="rId6" Type="http://schemas.openxmlformats.org/officeDocument/2006/relationships/customXml" Target="../ink/ink3.xml"/><Relationship Id="rId5" Type="http://schemas.openxmlformats.org/officeDocument/2006/relationships/image" Target="../media/image2.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xdr:from>
      <xdr:col>0</xdr:col>
      <xdr:colOff>897193</xdr:colOff>
      <xdr:row>170</xdr:row>
      <xdr:rowOff>164620</xdr:rowOff>
    </xdr:from>
    <xdr:to>
      <xdr:col>5</xdr:col>
      <xdr:colOff>332669</xdr:colOff>
      <xdr:row>194</xdr:row>
      <xdr:rowOff>132863</xdr:rowOff>
    </xdr:to>
    <xdr:graphicFrame macro="">
      <xdr:nvGraphicFramePr>
        <xdr:cNvPr id="2" name="Chart 1">
          <a:extLst>
            <a:ext uri="{FF2B5EF4-FFF2-40B4-BE49-F238E27FC236}">
              <a16:creationId xmlns:a16="http://schemas.microsoft.com/office/drawing/2014/main" id="{7BAD8F5D-6939-87D9-62D7-8FA805458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21</xdr:row>
      <xdr:rowOff>122984</xdr:rowOff>
    </xdr:from>
    <xdr:to>
      <xdr:col>10</xdr:col>
      <xdr:colOff>619699</xdr:colOff>
      <xdr:row>45</xdr:row>
      <xdr:rowOff>142026</xdr:rowOff>
    </xdr:to>
    <xdr:graphicFrame macro="">
      <xdr:nvGraphicFramePr>
        <xdr:cNvPr id="2" name="Chart 1">
          <a:extLst>
            <a:ext uri="{FF2B5EF4-FFF2-40B4-BE49-F238E27FC236}">
              <a16:creationId xmlns:a16="http://schemas.microsoft.com/office/drawing/2014/main" id="{682F4E36-6EE7-4599-B40E-D37FEDE49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20361</xdr:colOff>
      <xdr:row>24</xdr:row>
      <xdr:rowOff>2389</xdr:rowOff>
    </xdr:from>
    <xdr:to>
      <xdr:col>3</xdr:col>
      <xdr:colOff>132248</xdr:colOff>
      <xdr:row>24</xdr:row>
      <xdr:rowOff>48108</xdr:rowOff>
    </xdr:to>
    <mc:AlternateContent xmlns:mc="http://schemas.openxmlformats.org/markup-compatibility/2006">
      <mc:Choice xmlns:xdr14="http://schemas.microsoft.com/office/excel/2010/spreadsheetDrawing" Requires="xdr14">
        <xdr:contentPart xmlns:r="http://schemas.openxmlformats.org/officeDocument/2006/relationships" r:id="rId2">
          <xdr14:nvContentPartPr>
            <xdr14:cNvPr id="12" name="Ink 11">
              <a:extLst>
                <a:ext uri="{FF2B5EF4-FFF2-40B4-BE49-F238E27FC236}">
                  <a16:creationId xmlns:a16="http://schemas.microsoft.com/office/drawing/2014/main" id="{923076D3-407F-3177-6C02-3970B860F51E}"/>
                </a:ext>
              </a:extLst>
            </xdr14:cNvPr>
            <xdr14:cNvContentPartPr/>
          </xdr14:nvContentPartPr>
          <xdr14:nvPr macro=""/>
          <xdr14:xfrm flipV="1">
            <a:off x="2905642" y="4288639"/>
            <a:ext cx="111887" cy="45719"/>
          </xdr14:xfrm>
        </xdr:contentPart>
      </mc:Choice>
      <mc:Fallback>
        <xdr:pic>
          <xdr:nvPicPr>
            <xdr:cNvPr id="12" name="Ink 11">
              <a:extLst>
                <a:ext uri="{FF2B5EF4-FFF2-40B4-BE49-F238E27FC236}">
                  <a16:creationId xmlns:a16="http://schemas.microsoft.com/office/drawing/2014/main" id="{923076D3-407F-3177-6C02-3970B860F51E}"/>
                </a:ext>
              </a:extLst>
            </xdr:cNvPr>
            <xdr:cNvPicPr/>
          </xdr:nvPicPr>
          <xdr:blipFill>
            <a:blip xmlns:r="http://schemas.openxmlformats.org/officeDocument/2006/relationships" r:embed="rId3"/>
            <a:stretch>
              <a:fillRect/>
            </a:stretch>
          </xdr:blipFill>
          <xdr:spPr>
            <a:xfrm flipV="1">
              <a:off x="2899506" y="4282519"/>
              <a:ext cx="124158" cy="57959"/>
            </a:xfrm>
            <a:prstGeom prst="rect">
              <a:avLst/>
            </a:prstGeom>
          </xdr:spPr>
        </xdr:pic>
      </mc:Fallback>
    </mc:AlternateContent>
    <xdr:clientData/>
  </xdr:twoCellAnchor>
  <xdr:twoCellAnchor editAs="oneCell">
    <xdr:from>
      <xdr:col>7</xdr:col>
      <xdr:colOff>390376</xdr:colOff>
      <xdr:row>24</xdr:row>
      <xdr:rowOff>53189</xdr:rowOff>
    </xdr:from>
    <xdr:to>
      <xdr:col>7</xdr:col>
      <xdr:colOff>399736</xdr:colOff>
      <xdr:row>24</xdr:row>
      <xdr:rowOff>67949</xdr:rowOff>
    </xdr:to>
    <mc:AlternateContent xmlns:mc="http://schemas.openxmlformats.org/markup-compatibility/2006">
      <mc:Choice xmlns:xdr14="http://schemas.microsoft.com/office/excel/2010/spreadsheetDrawing" Requires="xdr14">
        <xdr:contentPart xmlns:r="http://schemas.openxmlformats.org/officeDocument/2006/relationships" r:id="rId4">
          <xdr14:nvContentPartPr>
            <xdr14:cNvPr id="26" name="Ink 25">
              <a:extLst>
                <a:ext uri="{FF2B5EF4-FFF2-40B4-BE49-F238E27FC236}">
                  <a16:creationId xmlns:a16="http://schemas.microsoft.com/office/drawing/2014/main" id="{B7B6929A-BFC2-9ADC-2520-30653F7F4087}"/>
                </a:ext>
              </a:extLst>
            </xdr14:cNvPr>
            <xdr14:cNvContentPartPr/>
          </xdr14:nvContentPartPr>
          <xdr14:nvPr macro=""/>
          <xdr14:xfrm>
            <a:off x="6301584" y="4334088"/>
            <a:ext cx="9360" cy="14760"/>
          </xdr14:xfrm>
        </xdr:contentPart>
      </mc:Choice>
      <mc:Fallback>
        <xdr:pic>
          <xdr:nvPicPr>
            <xdr:cNvPr id="26" name="Ink 25">
              <a:extLst>
                <a:ext uri="{FF2B5EF4-FFF2-40B4-BE49-F238E27FC236}">
                  <a16:creationId xmlns:a16="http://schemas.microsoft.com/office/drawing/2014/main" id="{B7B6929A-BFC2-9ADC-2520-30653F7F4087}"/>
                </a:ext>
              </a:extLst>
            </xdr:cNvPr>
            <xdr:cNvPicPr/>
          </xdr:nvPicPr>
          <xdr:blipFill>
            <a:blip xmlns:r="http://schemas.openxmlformats.org/officeDocument/2006/relationships" r:embed="rId5"/>
            <a:stretch>
              <a:fillRect/>
            </a:stretch>
          </xdr:blipFill>
          <xdr:spPr>
            <a:xfrm>
              <a:off x="6295464" y="4327968"/>
              <a:ext cx="21600" cy="27000"/>
            </a:xfrm>
            <a:prstGeom prst="rect">
              <a:avLst/>
            </a:prstGeom>
          </xdr:spPr>
        </xdr:pic>
      </mc:Fallback>
    </mc:AlternateContent>
    <xdr:clientData/>
  </xdr:twoCellAnchor>
  <xdr:twoCellAnchor editAs="oneCell">
    <xdr:from>
      <xdr:col>10</xdr:col>
      <xdr:colOff>634980</xdr:colOff>
      <xdr:row>31</xdr:row>
      <xdr:rowOff>29860</xdr:rowOff>
    </xdr:from>
    <xdr:to>
      <xdr:col>11</xdr:col>
      <xdr:colOff>7766</xdr:colOff>
      <xdr:row>31</xdr:row>
      <xdr:rowOff>80620</xdr:rowOff>
    </xdr:to>
    <mc:AlternateContent xmlns:mc="http://schemas.openxmlformats.org/markup-compatibility/2006">
      <mc:Choice xmlns:xdr14="http://schemas.microsoft.com/office/excel/2010/spreadsheetDrawing" Requires="xdr14">
        <xdr:contentPart xmlns:r="http://schemas.openxmlformats.org/officeDocument/2006/relationships" r:id="rId6">
          <xdr14:nvContentPartPr>
            <xdr14:cNvPr id="31" name="Ink 30">
              <a:extLst>
                <a:ext uri="{FF2B5EF4-FFF2-40B4-BE49-F238E27FC236}">
                  <a16:creationId xmlns:a16="http://schemas.microsoft.com/office/drawing/2014/main" id="{05928B59-D3D9-8D19-30B4-1906E6AEBAE3}"/>
                </a:ext>
              </a:extLst>
            </xdr14:cNvPr>
            <xdr14:cNvContentPartPr/>
          </xdr14:nvContentPartPr>
          <xdr14:nvPr macro=""/>
          <xdr14:xfrm>
            <a:off x="8509907" y="5489933"/>
            <a:ext cx="30960" cy="50760"/>
          </xdr14:xfrm>
        </xdr:contentPart>
      </mc:Choice>
      <mc:Fallback>
        <xdr:pic>
          <xdr:nvPicPr>
            <xdr:cNvPr id="31" name="Ink 30">
              <a:extLst>
                <a:ext uri="{FF2B5EF4-FFF2-40B4-BE49-F238E27FC236}">
                  <a16:creationId xmlns:a16="http://schemas.microsoft.com/office/drawing/2014/main" id="{05928B59-D3D9-8D19-30B4-1906E6AEBAE3}"/>
                </a:ext>
              </a:extLst>
            </xdr:cNvPr>
            <xdr:cNvPicPr/>
          </xdr:nvPicPr>
          <xdr:blipFill>
            <a:blip xmlns:r="http://schemas.openxmlformats.org/officeDocument/2006/relationships" r:embed="rId7"/>
            <a:stretch>
              <a:fillRect/>
            </a:stretch>
          </xdr:blipFill>
          <xdr:spPr>
            <a:xfrm>
              <a:off x="8503787" y="5483813"/>
              <a:ext cx="43200" cy="63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3T13:06:19.257"/>
    </inkml:context>
    <inkml:brush xml:id="br0">
      <inkml:brushProperty name="width" value="0.035" units="cm"/>
      <inkml:brushProperty name="height" value="0.035" units="cm"/>
    </inkml:brush>
  </inkml:definitions>
  <inkml:trace contextRef="#ctx0" brushRef="#br0">167 0 24575</inkml:trace>
  <inkml:trace contextRef="#ctx0" brushRef="#br0" timeOffset="386.38">167 0 24575</inkml:trace>
  <inkml:trace contextRef="#ctx0" brushRef="#br0" timeOffset="2095.65">1 86 24575</inkml:trace>
  <inkml:trace contextRef="#ctx0" brushRef="#br0" timeOffset="2236.49">1 86 24575</inkml:trace>
  <inkml:trace contextRef="#ctx0" brushRef="#br0" timeOffset="2422.38">1 86 24575</inkml:trace>
  <inkml:trace contextRef="#ctx0" brushRef="#br0" timeOffset="2626.09">1 86 24575</inkml:trace>
  <inkml:trace contextRef="#ctx0" brushRef="#br0" timeOffset="14401.5">28 114 24575,'78'2'0,"87"-4"0,-163 1 0,0 1 0,0 0 0,0-1 0,0 0 0,0 1 0,-1-1 0,1 0 0,0 0 0,-1 0 0,1 0 0,0 0 0,-1 0 0,1-1 0,-1 1 0,0 0 0,1-1 0,-1 1 0,0-1 0,0 0 0,0 1 0,0-1 0,0 0 0,0 0 0,-1 1 0,1-1 0,0 0 0,-1 0 0,0 0 0,1 0 0,-1 0 0,0 0 0,0 0 0,0-3 0,0 3 0,0-1 0,0 1 0,-1 0 0,1-1 0,0 1 0,-1 0 0,0 0 0,1-1 0,-1 1 0,0 0 0,0 0 0,0 0 0,0 0 0,0 0 0,-1 0 0,1 0 0,-1 1 0,1-1 0,-1 0 0,0 1 0,0-1 0,1 1 0,-1-1 0,0 1 0,0 0 0,0 0 0,0 0 0,-4-1 0,2 1 0,1 0 0,0 1 0,-1-1 0,1 1 0,-1 0 0,1 0 0,-1 0 0,1 1 0,-1-1 0,1 1 0,-1-1 0,1 1 0,0 0 0,0 1 0,-1-1 0,-3 3 0,1 0 0,0 1 0,1 0 0,0 0 0,0 0 0,-9 12 0,-4 7 0,-18 1-264,26-19-837,-11 6-5725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3T13:07:57.613"/>
    </inkml:context>
    <inkml:brush xml:id="br0">
      <inkml:brushProperty name="width" value="0.035" units="cm"/>
      <inkml:brushProperty name="height" value="0.035" units="cm"/>
    </inkml:brush>
  </inkml:definitions>
  <inkml:trace contextRef="#ctx0" brushRef="#br0">25 11 24575,'0'0'-8191</inkml:trace>
  <inkml:trace contextRef="#ctx0" brushRef="#br0" timeOffset="684.5">25 1 24575,'0'0'-8191</inkml:trace>
  <inkml:trace contextRef="#ctx0" brushRef="#br0" timeOffset="1521.08">1 41 24575,'0'0'-8191</inkml:trace>
  <inkml:trace contextRef="#ctx0" brushRef="#br0" timeOffset="1786.27">1 41 24575,'0'0'-8191</inkml:trace>
  <inkml:trace contextRef="#ctx0" brushRef="#br0" timeOffset="2657.93">16 36 24575,'0'0'-8191</inkml:trace>
  <inkml:trace contextRef="#ctx0" brushRef="#br0" timeOffset="2876.05">16 36 24575,'0'0'-8191</inkml:trace>
  <inkml:trace contextRef="#ctx0" brushRef="#br0" timeOffset="3218.04">16 36 24575,'0'0'-8191</inkml:trace>
  <inkml:trace contextRef="#ctx0" brushRef="#br0" timeOffset="3917.72">6 11 24575,'0'0'-8191</inkml:trace>
  <inkml:trace contextRef="#ctx0" brushRef="#br0" timeOffset="4402.67">6 16 24575,'0'0'-8191</inkml:trace>
  <inkml:trace contextRef="#ctx0" brushRef="#br0" timeOffset="4573.54">6 16 24575,'0'0'-8191</inkml:trace>
  <inkml:trace contextRef="#ctx0" brushRef="#br0" timeOffset="4949.28">6 16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3T13:08:43.468"/>
    </inkml:context>
    <inkml:brush xml:id="br0">
      <inkml:brushProperty name="width" value="0.035" units="cm"/>
      <inkml:brushProperty name="height" value="0.035" units="cm"/>
    </inkml:brush>
  </inkml:definitions>
  <inkml:trace contextRef="#ctx0" brushRef="#br0">112 0 24575</inkml:trace>
  <inkml:trace contextRef="#ctx0" brushRef="#br0" timeOffset="457.16">112 0 24575,'1'6'0,"0"-1"0,0 0 0,1 0 0,0 0 0,0 0 0,0 0 0,1 0 0,-1 0 0,1-1 0,3 5 0,8 14 0,-12-18 0,0 0 0,1-1 0,-1 1 0,1-1 0,0 1 0,0-1 0,0 0 0,1 0 0,0 0 0,-1 0 0,1-1 0,6 4 0,-13-13-1365</inkml:trace>
  <inkml:trace contextRef="#ctx0" brushRef="#br0" timeOffset="860.51">182 125 24575</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alakWeeklyData" displayName="FalakWeeklyData" ref="A5:O162" totalsRowCount="1">
  <tableColumns count="15">
    <tableColumn id="1" xr3:uid="{00000000-0010-0000-0000-000001000000}" name="Week_Start_Date"/>
    <tableColumn id="2" xr3:uid="{00000000-0010-0000-0000-000002000000}" name="Product_or_Category"/>
    <tableColumn id="3" xr3:uid="{00000000-0010-0000-0000-000003000000}" name="Market_Channel"/>
    <tableColumn id="4" xr3:uid="{00000000-0010-0000-0000-000004000000}" name="Actual_Demand"/>
    <tableColumn id="5" xr3:uid="{00000000-0010-0000-0000-000005000000}" name="Historical_Forecast"/>
    <tableColumn id="6" xr3:uid="{00000000-0010-0000-0000-000006000000}" name="Price"/>
    <tableColumn id="7" xr3:uid="{00000000-0010-0000-0000-000007000000}" name="Promo_Flag"/>
    <tableColumn id="8" xr3:uid="{00000000-0010-0000-0000-000008000000}" name="Promo_Depth"/>
    <tableColumn id="9" xr3:uid="{00000000-0010-0000-0000-000009000000}" name="Event_Flag"/>
    <tableColumn id="10" xr3:uid="{00000000-0010-0000-0000-00000A000000}" name="Event_Name"/>
    <tableColumn id="11" xr3:uid="{00000000-0010-0000-0000-00000B000000}" name="Distribution_Points"/>
    <tableColumn id="12" xr3:uid="{00000000-0010-0000-0000-00000C000000}" name="Stockout_Flag"/>
    <tableColumn id="13" xr3:uid="{00000000-0010-0000-0000-00000D000000}" name="Exceptional_Event"/>
    <tableColumn id="14" xr3:uid="{00000000-0010-0000-0000-00000E000000}" name="Data_Split"/>
    <tableColumn id="15" xr3:uid="{00000000-0010-0000-0000-00000F000000}" name="Dataset_Lab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4A4242-A318-45D1-867E-C59F4F3B232E}" name="Table1" displayName="Table1" ref="C3:D9" totalsRowShown="0">
  <autoFilter ref="C3:D9" xr:uid="{094A4242-A318-45D1-867E-C59F4F3B232E}"/>
  <tableColumns count="2">
    <tableColumn id="1" xr3:uid="{6241BBC0-9FEB-4C76-9582-9D5FE7748518}" name="Satistic "/>
    <tableColumn id="2" xr3:uid="{55C9693F-6D65-466E-A590-F07E455C24C5}" name="Result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17C02B-E0AD-4461-83AA-CB593D48B1B2}" name="Table2" displayName="Table2" ref="O14:Q22" totalsRowShown="0" headerRowDxfId="0">
  <autoFilter ref="O14:Q22" xr:uid="{0317C02B-E0AD-4461-83AA-CB593D48B1B2}"/>
  <tableColumns count="3">
    <tableColumn id="1" xr3:uid="{E28DA414-7250-4955-A6F4-E3D9F51BB1F6}" name="Metric" dataDxfId="3"/>
    <tableColumn id="2" xr3:uid="{6B6BC57B-C3F9-4E57-9ABC-7A3F7F5FA0D9}" name="Calculation and result" dataDxfId="2"/>
    <tableColumn id="3" xr3:uid="{DF3574C4-1145-49EF-BE44-1A46C95743CC}" name="Managerial interpretation"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9A32"/>
  </sheetPr>
  <dimension ref="A1:O168"/>
  <sheetViews>
    <sheetView showGridLines="0" zoomScale="109" workbookViewId="0">
      <pane xSplit="1" ySplit="5" topLeftCell="C102" activePane="bottomRight" state="frozen"/>
      <selection pane="topRight"/>
      <selection pane="bottomLeft"/>
      <selection pane="bottomRight" activeCell="C163" sqref="C163:D168"/>
    </sheetView>
  </sheetViews>
  <sheetFormatPr defaultRowHeight="14"/>
  <cols>
    <col min="1" max="1" width="17" customWidth="1"/>
    <col min="2" max="2" width="38" customWidth="1"/>
    <col min="3" max="3" width="27" customWidth="1"/>
    <col min="4" max="4" width="18" customWidth="1"/>
    <col min="5" max="5" width="21" customWidth="1"/>
    <col min="6" max="7" width="14" customWidth="1"/>
    <col min="8" max="8" width="16" customWidth="1"/>
    <col min="9" max="9" width="14" customWidth="1"/>
    <col min="10" max="10" width="28" customWidth="1"/>
    <col min="11" max="11" width="23" customWidth="1"/>
    <col min="12" max="12" width="18" customWidth="1"/>
    <col min="13" max="13" width="45" customWidth="1"/>
    <col min="14" max="14" width="15" customWidth="1"/>
    <col min="15" max="15" width="110" customWidth="1"/>
  </cols>
  <sheetData>
    <row r="1" spans="1:15" ht="20" customHeight="1">
      <c r="A1" s="12" t="s">
        <v>0</v>
      </c>
      <c r="B1" s="12"/>
      <c r="C1" s="12"/>
      <c r="D1" s="12"/>
      <c r="E1" s="12"/>
      <c r="F1" s="12"/>
      <c r="G1" s="12"/>
      <c r="H1" s="12"/>
      <c r="I1" s="12"/>
      <c r="J1" s="3"/>
      <c r="K1" s="3"/>
      <c r="L1" s="3"/>
      <c r="M1" s="3"/>
      <c r="N1" s="3"/>
      <c r="O1" s="3"/>
    </row>
    <row r="2" spans="1:15" ht="20" customHeight="1">
      <c r="A2" s="12"/>
      <c r="B2" s="12"/>
      <c r="C2" s="12"/>
      <c r="D2" s="12"/>
      <c r="E2" s="12"/>
      <c r="F2" s="12"/>
      <c r="G2" s="12"/>
      <c r="H2" s="12"/>
      <c r="I2" s="12"/>
      <c r="J2" s="3"/>
      <c r="K2" s="3"/>
      <c r="L2" s="3"/>
      <c r="M2" s="3"/>
      <c r="N2" s="3"/>
      <c r="O2" s="3"/>
    </row>
    <row r="3" spans="1:15">
      <c r="A3" s="1"/>
      <c r="B3" s="1"/>
      <c r="C3" s="1"/>
      <c r="D3" s="1"/>
      <c r="E3" s="1"/>
      <c r="F3" s="1"/>
      <c r="G3" s="1"/>
      <c r="H3" s="1"/>
      <c r="I3" s="1"/>
      <c r="J3" s="1"/>
      <c r="K3" s="1"/>
      <c r="L3" s="1"/>
      <c r="M3" s="1"/>
      <c r="N3" s="1"/>
      <c r="O3" s="1"/>
    </row>
    <row r="4" spans="1:15" ht="18">
      <c r="A4" s="4" t="s">
        <v>1</v>
      </c>
      <c r="B4" s="1"/>
      <c r="C4" s="1"/>
      <c r="D4" s="1"/>
      <c r="E4" s="1"/>
      <c r="F4" s="1"/>
      <c r="G4" s="1"/>
      <c r="H4" s="1"/>
      <c r="I4" s="1"/>
      <c r="J4" s="1"/>
      <c r="K4" s="1"/>
      <c r="L4" s="1"/>
      <c r="M4" s="1"/>
      <c r="N4" s="1"/>
      <c r="O4" s="1"/>
    </row>
    <row r="5" spans="1:15" ht="36" customHeight="1">
      <c r="A5" s="5" t="s">
        <v>2</v>
      </c>
      <c r="B5" s="5" t="s">
        <v>3</v>
      </c>
      <c r="C5" s="5" t="s">
        <v>4</v>
      </c>
      <c r="D5" s="5" t="s">
        <v>5</v>
      </c>
      <c r="E5" s="5" t="s">
        <v>6</v>
      </c>
      <c r="F5" s="5" t="s">
        <v>7</v>
      </c>
      <c r="G5" s="5" t="s">
        <v>8</v>
      </c>
      <c r="H5" s="5" t="s">
        <v>9</v>
      </c>
      <c r="I5" s="5" t="s">
        <v>10</v>
      </c>
      <c r="J5" s="5" t="s">
        <v>11</v>
      </c>
      <c r="K5" s="5" t="s">
        <v>12</v>
      </c>
      <c r="L5" s="5" t="s">
        <v>13</v>
      </c>
      <c r="M5" s="5" t="s">
        <v>14</v>
      </c>
      <c r="N5" s="5" t="s">
        <v>15</v>
      </c>
      <c r="O5" s="5" t="s">
        <v>16</v>
      </c>
    </row>
    <row r="6" spans="1:15" ht="23" customHeight="1">
      <c r="A6" s="6">
        <v>45201</v>
      </c>
      <c r="B6" s="1" t="s">
        <v>17</v>
      </c>
      <c r="C6" s="1" t="s">
        <v>18</v>
      </c>
      <c r="D6" s="7">
        <v>5407</v>
      </c>
      <c r="E6" s="7">
        <v>5000</v>
      </c>
      <c r="F6" s="7">
        <v>2400</v>
      </c>
      <c r="G6" s="7">
        <v>0</v>
      </c>
      <c r="H6" s="8">
        <v>0</v>
      </c>
      <c r="I6" s="9">
        <v>0</v>
      </c>
      <c r="J6" s="1"/>
      <c r="K6" s="7">
        <v>1021</v>
      </c>
      <c r="L6" s="7">
        <v>0</v>
      </c>
      <c r="M6" s="1"/>
      <c r="N6" s="1" t="s">
        <v>19</v>
      </c>
      <c r="O6" s="10" t="s">
        <v>0</v>
      </c>
    </row>
    <row r="7" spans="1:15" ht="23" customHeight="1">
      <c r="A7" s="6">
        <v>45208</v>
      </c>
      <c r="B7" s="1" t="s">
        <v>17</v>
      </c>
      <c r="C7" s="1" t="s">
        <v>18</v>
      </c>
      <c r="D7" s="7">
        <v>5015</v>
      </c>
      <c r="E7" s="7">
        <v>5115</v>
      </c>
      <c r="F7" s="7">
        <v>2400</v>
      </c>
      <c r="G7" s="7">
        <v>0</v>
      </c>
      <c r="H7" s="8">
        <v>0</v>
      </c>
      <c r="I7" s="9">
        <v>0</v>
      </c>
      <c r="J7" s="1"/>
      <c r="K7" s="7">
        <v>1022</v>
      </c>
      <c r="L7" s="7">
        <v>0</v>
      </c>
      <c r="M7" s="1"/>
      <c r="N7" s="1" t="s">
        <v>19</v>
      </c>
      <c r="O7" s="10" t="s">
        <v>0</v>
      </c>
    </row>
    <row r="8" spans="1:15" ht="23" customHeight="1">
      <c r="A8" s="6">
        <v>45215</v>
      </c>
      <c r="B8" s="1" t="s">
        <v>17</v>
      </c>
      <c r="C8" s="1" t="s">
        <v>18</v>
      </c>
      <c r="D8" s="7">
        <v>6458</v>
      </c>
      <c r="E8" s="7">
        <v>5540</v>
      </c>
      <c r="F8" s="7">
        <v>2400</v>
      </c>
      <c r="G8" s="7">
        <v>1</v>
      </c>
      <c r="H8" s="8">
        <v>0.1</v>
      </c>
      <c r="I8" s="9">
        <v>0</v>
      </c>
      <c r="J8" s="1"/>
      <c r="K8" s="7">
        <v>1014</v>
      </c>
      <c r="L8" s="7">
        <v>0</v>
      </c>
      <c r="M8" s="1"/>
      <c r="N8" s="1" t="s">
        <v>19</v>
      </c>
      <c r="O8" s="10" t="s">
        <v>0</v>
      </c>
    </row>
    <row r="9" spans="1:15" ht="23" customHeight="1">
      <c r="A9" s="6">
        <v>45222</v>
      </c>
      <c r="B9" s="1" t="s">
        <v>17</v>
      </c>
      <c r="C9" s="1" t="s">
        <v>18</v>
      </c>
      <c r="D9" s="7">
        <v>4822</v>
      </c>
      <c r="E9" s="7">
        <v>5098</v>
      </c>
      <c r="F9" s="7">
        <v>2400</v>
      </c>
      <c r="G9" s="7">
        <v>0</v>
      </c>
      <c r="H9" s="8">
        <v>0</v>
      </c>
      <c r="I9" s="9">
        <v>0</v>
      </c>
      <c r="J9" s="1"/>
      <c r="K9" s="7">
        <v>1008</v>
      </c>
      <c r="L9" s="7">
        <v>0</v>
      </c>
      <c r="M9" s="1"/>
      <c r="N9" s="1" t="s">
        <v>19</v>
      </c>
      <c r="O9" s="10" t="s">
        <v>0</v>
      </c>
    </row>
    <row r="10" spans="1:15" ht="23" customHeight="1">
      <c r="A10" s="6">
        <v>45229</v>
      </c>
      <c r="B10" s="1" t="s">
        <v>17</v>
      </c>
      <c r="C10" s="1" t="s">
        <v>18</v>
      </c>
      <c r="D10" s="7">
        <v>5437</v>
      </c>
      <c r="E10" s="7">
        <v>5077</v>
      </c>
      <c r="F10" s="7">
        <v>2400</v>
      </c>
      <c r="G10" s="7">
        <v>0</v>
      </c>
      <c r="H10" s="8">
        <v>0</v>
      </c>
      <c r="I10" s="9">
        <v>0</v>
      </c>
      <c r="J10" s="1"/>
      <c r="K10" s="7">
        <v>1028</v>
      </c>
      <c r="L10" s="7">
        <v>0</v>
      </c>
      <c r="M10" s="1"/>
      <c r="N10" s="1" t="s">
        <v>19</v>
      </c>
      <c r="O10" s="10" t="s">
        <v>0</v>
      </c>
    </row>
    <row r="11" spans="1:15" ht="23" customHeight="1">
      <c r="A11" s="6">
        <v>45236</v>
      </c>
      <c r="B11" s="1" t="s">
        <v>17</v>
      </c>
      <c r="C11" s="1" t="s">
        <v>18</v>
      </c>
      <c r="D11" s="7">
        <v>6526</v>
      </c>
      <c r="E11" s="7">
        <v>5602</v>
      </c>
      <c r="F11" s="7">
        <v>2400</v>
      </c>
      <c r="G11" s="7">
        <v>1</v>
      </c>
      <c r="H11" s="8">
        <v>0.12</v>
      </c>
      <c r="I11" s="9">
        <v>0</v>
      </c>
      <c r="J11" s="1"/>
      <c r="K11" s="7">
        <v>1034</v>
      </c>
      <c r="L11" s="7">
        <v>0</v>
      </c>
      <c r="M11" s="1"/>
      <c r="N11" s="1" t="s">
        <v>19</v>
      </c>
      <c r="O11" s="10" t="s">
        <v>0</v>
      </c>
    </row>
    <row r="12" spans="1:15" ht="23" customHeight="1">
      <c r="A12" s="6">
        <v>45243</v>
      </c>
      <c r="B12" s="1" t="s">
        <v>17</v>
      </c>
      <c r="C12" s="1" t="s">
        <v>18</v>
      </c>
      <c r="D12" s="7">
        <v>5056</v>
      </c>
      <c r="E12" s="7">
        <v>5225</v>
      </c>
      <c r="F12" s="7">
        <v>2400</v>
      </c>
      <c r="G12" s="7">
        <v>0</v>
      </c>
      <c r="H12" s="8">
        <v>0</v>
      </c>
      <c r="I12" s="9">
        <v>0</v>
      </c>
      <c r="J12" s="1"/>
      <c r="K12" s="7">
        <v>1024</v>
      </c>
      <c r="L12" s="7">
        <v>0</v>
      </c>
      <c r="M12" s="1"/>
      <c r="N12" s="1" t="s">
        <v>19</v>
      </c>
      <c r="O12" s="10" t="s">
        <v>0</v>
      </c>
    </row>
    <row r="13" spans="1:15" ht="23" customHeight="1">
      <c r="A13" s="6">
        <v>45250</v>
      </c>
      <c r="B13" s="1" t="s">
        <v>17</v>
      </c>
      <c r="C13" s="1" t="s">
        <v>18</v>
      </c>
      <c r="D13" s="7">
        <v>4477</v>
      </c>
      <c r="E13" s="7">
        <v>5182</v>
      </c>
      <c r="F13" s="7">
        <v>2400</v>
      </c>
      <c r="G13" s="7">
        <v>0</v>
      </c>
      <c r="H13" s="8">
        <v>0</v>
      </c>
      <c r="I13" s="9">
        <v>0</v>
      </c>
      <c r="J13" s="1"/>
      <c r="K13" s="7">
        <v>1031</v>
      </c>
      <c r="L13" s="7">
        <v>0</v>
      </c>
      <c r="M13" s="1"/>
      <c r="N13" s="1" t="s">
        <v>19</v>
      </c>
      <c r="O13" s="10" t="s">
        <v>0</v>
      </c>
    </row>
    <row r="14" spans="1:15" ht="23" customHeight="1">
      <c r="A14" s="6">
        <v>45257</v>
      </c>
      <c r="B14" s="1" t="s">
        <v>17</v>
      </c>
      <c r="C14" s="1" t="s">
        <v>18</v>
      </c>
      <c r="D14" s="7">
        <v>5429</v>
      </c>
      <c r="E14" s="7">
        <v>5225</v>
      </c>
      <c r="F14" s="7">
        <v>2400</v>
      </c>
      <c r="G14" s="7">
        <v>0</v>
      </c>
      <c r="H14" s="8">
        <v>0</v>
      </c>
      <c r="I14" s="9">
        <v>0</v>
      </c>
      <c r="J14" s="1"/>
      <c r="K14" s="7">
        <v>1026</v>
      </c>
      <c r="L14" s="7">
        <v>0</v>
      </c>
      <c r="M14" s="1"/>
      <c r="N14" s="1" t="s">
        <v>19</v>
      </c>
      <c r="O14" s="10" t="s">
        <v>0</v>
      </c>
    </row>
    <row r="15" spans="1:15" ht="23" customHeight="1">
      <c r="A15" s="6">
        <v>45264</v>
      </c>
      <c r="B15" s="1" t="s">
        <v>17</v>
      </c>
      <c r="C15" s="1" t="s">
        <v>18</v>
      </c>
      <c r="D15" s="7">
        <v>8006</v>
      </c>
      <c r="E15" s="7">
        <v>5622</v>
      </c>
      <c r="F15" s="7">
        <v>2400</v>
      </c>
      <c r="G15" s="7">
        <v>1</v>
      </c>
      <c r="H15" s="8">
        <v>0.1</v>
      </c>
      <c r="I15" s="9">
        <v>0</v>
      </c>
      <c r="J15" s="1"/>
      <c r="K15" s="7">
        <v>1016</v>
      </c>
      <c r="L15" s="7">
        <v>0</v>
      </c>
      <c r="M15" s="1"/>
      <c r="N15" s="1" t="s">
        <v>19</v>
      </c>
      <c r="O15" s="10" t="s">
        <v>0</v>
      </c>
    </row>
    <row r="16" spans="1:15" ht="23" customHeight="1">
      <c r="A16" s="6">
        <v>45271</v>
      </c>
      <c r="B16" s="1" t="s">
        <v>17</v>
      </c>
      <c r="C16" s="1" t="s">
        <v>18</v>
      </c>
      <c r="D16" s="7">
        <v>5581</v>
      </c>
      <c r="E16" s="7">
        <v>5160</v>
      </c>
      <c r="F16" s="7">
        <v>2400</v>
      </c>
      <c r="G16" s="7">
        <v>0</v>
      </c>
      <c r="H16" s="8">
        <v>0</v>
      </c>
      <c r="I16" s="9">
        <v>0</v>
      </c>
      <c r="J16" s="1"/>
      <c r="K16" s="7">
        <v>1017</v>
      </c>
      <c r="L16" s="7">
        <v>0</v>
      </c>
      <c r="M16" s="1"/>
      <c r="N16" s="1" t="s">
        <v>19</v>
      </c>
      <c r="O16" s="10" t="s">
        <v>0</v>
      </c>
    </row>
    <row r="17" spans="1:15" ht="23" customHeight="1">
      <c r="A17" s="6">
        <v>45278</v>
      </c>
      <c r="B17" s="1" t="s">
        <v>17</v>
      </c>
      <c r="C17" s="1" t="s">
        <v>18</v>
      </c>
      <c r="D17" s="7">
        <v>4396</v>
      </c>
      <c r="E17" s="7">
        <v>5170</v>
      </c>
      <c r="F17" s="7">
        <v>2400</v>
      </c>
      <c r="G17" s="7">
        <v>0</v>
      </c>
      <c r="H17" s="8">
        <v>0</v>
      </c>
      <c r="I17" s="9">
        <v>0</v>
      </c>
      <c r="J17" s="1"/>
      <c r="K17" s="7">
        <v>1004</v>
      </c>
      <c r="L17" s="7">
        <v>0</v>
      </c>
      <c r="M17" s="1"/>
      <c r="N17" s="1" t="s">
        <v>19</v>
      </c>
      <c r="O17" s="10" t="s">
        <v>0</v>
      </c>
    </row>
    <row r="18" spans="1:15" ht="23" customHeight="1">
      <c r="A18" s="6">
        <v>45285</v>
      </c>
      <c r="B18" s="1" t="s">
        <v>17</v>
      </c>
      <c r="C18" s="1" t="s">
        <v>18</v>
      </c>
      <c r="D18" s="7">
        <v>5417</v>
      </c>
      <c r="E18" s="7">
        <v>5107</v>
      </c>
      <c r="F18" s="7">
        <v>2400</v>
      </c>
      <c r="G18" s="7">
        <v>0</v>
      </c>
      <c r="H18" s="8">
        <v>0</v>
      </c>
      <c r="I18" s="9">
        <v>0</v>
      </c>
      <c r="J18" s="1"/>
      <c r="K18" s="7">
        <v>1008</v>
      </c>
      <c r="L18" s="7">
        <v>0</v>
      </c>
      <c r="M18" s="1"/>
      <c r="N18" s="1" t="s">
        <v>19</v>
      </c>
      <c r="O18" s="10" t="s">
        <v>0</v>
      </c>
    </row>
    <row r="19" spans="1:15" ht="23" customHeight="1">
      <c r="A19" s="6">
        <v>45292</v>
      </c>
      <c r="B19" s="1" t="s">
        <v>17</v>
      </c>
      <c r="C19" s="1" t="s">
        <v>18</v>
      </c>
      <c r="D19" s="7">
        <v>5240</v>
      </c>
      <c r="E19" s="7">
        <v>5130</v>
      </c>
      <c r="F19" s="7">
        <v>2400</v>
      </c>
      <c r="G19" s="7">
        <v>0</v>
      </c>
      <c r="H19" s="8">
        <v>0</v>
      </c>
      <c r="I19" s="9">
        <v>0</v>
      </c>
      <c r="J19" s="1"/>
      <c r="K19" s="7">
        <v>991</v>
      </c>
      <c r="L19" s="7">
        <v>0</v>
      </c>
      <c r="M19" s="1"/>
      <c r="N19" s="1" t="s">
        <v>19</v>
      </c>
      <c r="O19" s="10" t="s">
        <v>0</v>
      </c>
    </row>
    <row r="20" spans="1:15" ht="23" customHeight="1">
      <c r="A20" s="6">
        <v>45299</v>
      </c>
      <c r="B20" s="1" t="s">
        <v>17</v>
      </c>
      <c r="C20" s="1" t="s">
        <v>18</v>
      </c>
      <c r="D20" s="7">
        <v>6097</v>
      </c>
      <c r="E20" s="7">
        <v>5046</v>
      </c>
      <c r="F20" s="7">
        <v>2400</v>
      </c>
      <c r="G20" s="7">
        <v>0</v>
      </c>
      <c r="H20" s="8">
        <v>0</v>
      </c>
      <c r="I20" s="9">
        <v>0</v>
      </c>
      <c r="J20" s="1"/>
      <c r="K20" s="7">
        <v>988</v>
      </c>
      <c r="L20" s="7">
        <v>0</v>
      </c>
      <c r="M20" s="1"/>
      <c r="N20" s="1" t="s">
        <v>19</v>
      </c>
      <c r="O20" s="10" t="s">
        <v>0</v>
      </c>
    </row>
    <row r="21" spans="1:15" ht="23" customHeight="1">
      <c r="A21" s="6">
        <v>45306</v>
      </c>
      <c r="B21" s="1" t="s">
        <v>17</v>
      </c>
      <c r="C21" s="1" t="s">
        <v>18</v>
      </c>
      <c r="D21" s="7">
        <v>6754</v>
      </c>
      <c r="E21" s="7">
        <v>5434</v>
      </c>
      <c r="F21" s="7">
        <v>2400</v>
      </c>
      <c r="G21" s="7">
        <v>1</v>
      </c>
      <c r="H21" s="8">
        <v>0.12</v>
      </c>
      <c r="I21" s="9">
        <v>0</v>
      </c>
      <c r="J21" s="1"/>
      <c r="K21" s="7">
        <v>975</v>
      </c>
      <c r="L21" s="7">
        <v>0</v>
      </c>
      <c r="M21" s="1"/>
      <c r="N21" s="1" t="s">
        <v>19</v>
      </c>
      <c r="O21" s="10" t="s">
        <v>0</v>
      </c>
    </row>
    <row r="22" spans="1:15" ht="23" customHeight="1">
      <c r="A22" s="6">
        <v>45313</v>
      </c>
      <c r="B22" s="1" t="s">
        <v>17</v>
      </c>
      <c r="C22" s="1" t="s">
        <v>18</v>
      </c>
      <c r="D22" s="7">
        <v>4656</v>
      </c>
      <c r="E22" s="7">
        <v>4965</v>
      </c>
      <c r="F22" s="7">
        <v>2400</v>
      </c>
      <c r="G22" s="7">
        <v>0</v>
      </c>
      <c r="H22" s="8">
        <v>0</v>
      </c>
      <c r="I22" s="9">
        <v>0</v>
      </c>
      <c r="J22" s="1"/>
      <c r="K22" s="7">
        <v>973</v>
      </c>
      <c r="L22" s="7">
        <v>0</v>
      </c>
      <c r="M22" s="1"/>
      <c r="N22" s="1" t="s">
        <v>19</v>
      </c>
      <c r="O22" s="10" t="s">
        <v>0</v>
      </c>
    </row>
    <row r="23" spans="1:15" ht="23" customHeight="1">
      <c r="A23" s="6">
        <v>45320</v>
      </c>
      <c r="B23" s="1" t="s">
        <v>17</v>
      </c>
      <c r="C23" s="1" t="s">
        <v>18</v>
      </c>
      <c r="D23" s="7">
        <v>5237</v>
      </c>
      <c r="E23" s="7">
        <v>4954</v>
      </c>
      <c r="F23" s="7">
        <v>2400</v>
      </c>
      <c r="G23" s="7">
        <v>0</v>
      </c>
      <c r="H23" s="8">
        <v>0</v>
      </c>
      <c r="I23" s="9">
        <v>0</v>
      </c>
      <c r="J23" s="1"/>
      <c r="K23" s="7">
        <v>978</v>
      </c>
      <c r="L23" s="7">
        <v>0</v>
      </c>
      <c r="M23" s="1"/>
      <c r="N23" s="1" t="s">
        <v>19</v>
      </c>
      <c r="O23" s="10" t="s">
        <v>0</v>
      </c>
    </row>
    <row r="24" spans="1:15" ht="23" customHeight="1">
      <c r="A24" s="6">
        <v>45327</v>
      </c>
      <c r="B24" s="1" t="s">
        <v>17</v>
      </c>
      <c r="C24" s="1" t="s">
        <v>18</v>
      </c>
      <c r="D24" s="7">
        <v>6526</v>
      </c>
      <c r="E24" s="7">
        <v>5375</v>
      </c>
      <c r="F24" s="7">
        <v>2400</v>
      </c>
      <c r="G24" s="7">
        <v>1</v>
      </c>
      <c r="H24" s="8">
        <v>0.12</v>
      </c>
      <c r="I24" s="9">
        <v>0</v>
      </c>
      <c r="J24" s="1"/>
      <c r="K24" s="7">
        <v>973</v>
      </c>
      <c r="L24" s="7">
        <v>0</v>
      </c>
      <c r="M24" s="1"/>
      <c r="N24" s="1" t="s">
        <v>19</v>
      </c>
      <c r="O24" s="10" t="s">
        <v>0</v>
      </c>
    </row>
    <row r="25" spans="1:15" ht="23" customHeight="1">
      <c r="A25" s="6">
        <v>45334</v>
      </c>
      <c r="B25" s="1" t="s">
        <v>17</v>
      </c>
      <c r="C25" s="1" t="s">
        <v>18</v>
      </c>
      <c r="D25" s="7">
        <v>4825</v>
      </c>
      <c r="E25" s="7">
        <v>4949</v>
      </c>
      <c r="F25" s="7">
        <v>2400</v>
      </c>
      <c r="G25" s="7">
        <v>0</v>
      </c>
      <c r="H25" s="8">
        <v>0</v>
      </c>
      <c r="I25" s="9">
        <v>0</v>
      </c>
      <c r="J25" s="1"/>
      <c r="K25" s="7">
        <v>981</v>
      </c>
      <c r="L25" s="7">
        <v>0</v>
      </c>
      <c r="M25" s="1"/>
      <c r="N25" s="1" t="s">
        <v>19</v>
      </c>
      <c r="O25" s="10" t="s">
        <v>0</v>
      </c>
    </row>
    <row r="26" spans="1:15" ht="23" customHeight="1">
      <c r="A26" s="6">
        <v>45341</v>
      </c>
      <c r="B26" s="1" t="s">
        <v>17</v>
      </c>
      <c r="C26" s="1" t="s">
        <v>18</v>
      </c>
      <c r="D26" s="7">
        <v>4825</v>
      </c>
      <c r="E26" s="7">
        <v>4986</v>
      </c>
      <c r="F26" s="7">
        <v>2500</v>
      </c>
      <c r="G26" s="7">
        <v>0</v>
      </c>
      <c r="H26" s="8">
        <v>0</v>
      </c>
      <c r="I26" s="9">
        <v>0</v>
      </c>
      <c r="J26" s="1"/>
      <c r="K26" s="7">
        <v>988</v>
      </c>
      <c r="L26" s="7">
        <v>0</v>
      </c>
      <c r="M26" s="1"/>
      <c r="N26" s="1" t="s">
        <v>19</v>
      </c>
      <c r="O26" s="10" t="s">
        <v>0</v>
      </c>
    </row>
    <row r="27" spans="1:15" ht="23" customHeight="1">
      <c r="A27" s="6">
        <v>45348</v>
      </c>
      <c r="B27" s="1" t="s">
        <v>17</v>
      </c>
      <c r="C27" s="1" t="s">
        <v>18</v>
      </c>
      <c r="D27" s="7">
        <v>5261</v>
      </c>
      <c r="E27" s="7">
        <v>4957</v>
      </c>
      <c r="F27" s="7">
        <v>2500</v>
      </c>
      <c r="G27" s="7">
        <v>0</v>
      </c>
      <c r="H27" s="8">
        <v>0</v>
      </c>
      <c r="I27" s="9">
        <v>0</v>
      </c>
      <c r="J27" s="1"/>
      <c r="K27" s="7">
        <v>986</v>
      </c>
      <c r="L27" s="7">
        <v>0</v>
      </c>
      <c r="M27" s="1"/>
      <c r="N27" s="1" t="s">
        <v>19</v>
      </c>
      <c r="O27" s="10" t="s">
        <v>0</v>
      </c>
    </row>
    <row r="28" spans="1:15" ht="23" customHeight="1">
      <c r="A28" s="6">
        <v>45355</v>
      </c>
      <c r="B28" s="1" t="s">
        <v>17</v>
      </c>
      <c r="C28" s="1" t="s">
        <v>18</v>
      </c>
      <c r="D28" s="7">
        <v>9044</v>
      </c>
      <c r="E28" s="7">
        <v>5831</v>
      </c>
      <c r="F28" s="7">
        <v>2500</v>
      </c>
      <c r="G28" s="7">
        <v>1</v>
      </c>
      <c r="H28" s="8">
        <v>0.12</v>
      </c>
      <c r="I28" s="9">
        <v>1</v>
      </c>
      <c r="J28" s="1" t="s">
        <v>20</v>
      </c>
      <c r="K28" s="7">
        <v>1016</v>
      </c>
      <c r="L28" s="7">
        <v>0</v>
      </c>
      <c r="M28" s="1"/>
      <c r="N28" s="1" t="s">
        <v>19</v>
      </c>
      <c r="O28" s="10" t="s">
        <v>0</v>
      </c>
    </row>
    <row r="29" spans="1:15" ht="23" customHeight="1">
      <c r="A29" s="6">
        <v>45362</v>
      </c>
      <c r="B29" s="1" t="s">
        <v>17</v>
      </c>
      <c r="C29" s="1" t="s">
        <v>18</v>
      </c>
      <c r="D29" s="7">
        <v>6293</v>
      </c>
      <c r="E29" s="7">
        <v>5595</v>
      </c>
      <c r="F29" s="7">
        <v>2500</v>
      </c>
      <c r="G29" s="7">
        <v>0</v>
      </c>
      <c r="H29" s="8">
        <v>0</v>
      </c>
      <c r="I29" s="9">
        <v>1</v>
      </c>
      <c r="J29" s="1" t="s">
        <v>21</v>
      </c>
      <c r="K29" s="7">
        <v>1015</v>
      </c>
      <c r="L29" s="7">
        <v>0</v>
      </c>
      <c r="M29" s="1"/>
      <c r="N29" s="1" t="s">
        <v>19</v>
      </c>
      <c r="O29" s="10" t="s">
        <v>0</v>
      </c>
    </row>
    <row r="30" spans="1:15" ht="23" customHeight="1">
      <c r="A30" s="6">
        <v>45369</v>
      </c>
      <c r="B30" s="1" t="s">
        <v>17</v>
      </c>
      <c r="C30" s="1" t="s">
        <v>18</v>
      </c>
      <c r="D30" s="7">
        <v>4982</v>
      </c>
      <c r="E30" s="7">
        <v>5583</v>
      </c>
      <c r="F30" s="7">
        <v>2500</v>
      </c>
      <c r="G30" s="7">
        <v>0</v>
      </c>
      <c r="H30" s="8">
        <v>0</v>
      </c>
      <c r="I30" s="9">
        <v>1</v>
      </c>
      <c r="J30" s="1" t="s">
        <v>22</v>
      </c>
      <c r="K30" s="7">
        <v>1012</v>
      </c>
      <c r="L30" s="7">
        <v>0</v>
      </c>
      <c r="M30" s="1"/>
      <c r="N30" s="1" t="s">
        <v>19</v>
      </c>
      <c r="O30" s="10" t="s">
        <v>0</v>
      </c>
    </row>
    <row r="31" spans="1:15" ht="23" customHeight="1">
      <c r="A31" s="6">
        <v>45376</v>
      </c>
      <c r="B31" s="1" t="s">
        <v>17</v>
      </c>
      <c r="C31" s="1" t="s">
        <v>18</v>
      </c>
      <c r="D31" s="7">
        <v>5034</v>
      </c>
      <c r="E31" s="7">
        <v>5559</v>
      </c>
      <c r="F31" s="7">
        <v>2500</v>
      </c>
      <c r="G31" s="7">
        <v>0</v>
      </c>
      <c r="H31" s="8">
        <v>0</v>
      </c>
      <c r="I31" s="9">
        <v>1</v>
      </c>
      <c r="J31" s="1" t="s">
        <v>22</v>
      </c>
      <c r="K31" s="7">
        <v>1015</v>
      </c>
      <c r="L31" s="7">
        <v>0</v>
      </c>
      <c r="M31" s="1"/>
      <c r="N31" s="1" t="s">
        <v>19</v>
      </c>
      <c r="O31" s="10" t="s">
        <v>0</v>
      </c>
    </row>
    <row r="32" spans="1:15" ht="23" customHeight="1">
      <c r="A32" s="6">
        <v>45383</v>
      </c>
      <c r="B32" s="1" t="s">
        <v>17</v>
      </c>
      <c r="C32" s="1" t="s">
        <v>18</v>
      </c>
      <c r="D32" s="7">
        <v>5977</v>
      </c>
      <c r="E32" s="7">
        <v>5568</v>
      </c>
      <c r="F32" s="7">
        <v>2500</v>
      </c>
      <c r="G32" s="7">
        <v>0</v>
      </c>
      <c r="H32" s="8">
        <v>0</v>
      </c>
      <c r="I32" s="9">
        <v>1</v>
      </c>
      <c r="J32" s="1" t="s">
        <v>23</v>
      </c>
      <c r="K32" s="7">
        <v>1055</v>
      </c>
      <c r="L32" s="7">
        <v>0</v>
      </c>
      <c r="M32" s="1"/>
      <c r="N32" s="1" t="s">
        <v>19</v>
      </c>
      <c r="O32" s="10" t="s">
        <v>0</v>
      </c>
    </row>
    <row r="33" spans="1:15" ht="23" customHeight="1">
      <c r="A33" s="6">
        <v>45390</v>
      </c>
      <c r="B33" s="1" t="s">
        <v>17</v>
      </c>
      <c r="C33" s="1" t="s">
        <v>18</v>
      </c>
      <c r="D33" s="7">
        <v>5504</v>
      </c>
      <c r="E33" s="7">
        <v>5780</v>
      </c>
      <c r="F33" s="7">
        <v>2500</v>
      </c>
      <c r="G33" s="7">
        <v>0</v>
      </c>
      <c r="H33" s="8">
        <v>0</v>
      </c>
      <c r="I33" s="9">
        <v>1</v>
      </c>
      <c r="J33" s="1" t="s">
        <v>24</v>
      </c>
      <c r="K33" s="7">
        <v>1037</v>
      </c>
      <c r="L33" s="7">
        <v>0</v>
      </c>
      <c r="M33" s="1"/>
      <c r="N33" s="1" t="s">
        <v>19</v>
      </c>
      <c r="O33" s="10" t="s">
        <v>0</v>
      </c>
    </row>
    <row r="34" spans="1:15" ht="23" customHeight="1">
      <c r="A34" s="6">
        <v>45397</v>
      </c>
      <c r="B34" s="1" t="s">
        <v>17</v>
      </c>
      <c r="C34" s="1" t="s">
        <v>18</v>
      </c>
      <c r="D34" s="7">
        <v>7231</v>
      </c>
      <c r="E34" s="7">
        <v>5570</v>
      </c>
      <c r="F34" s="7">
        <v>2500</v>
      </c>
      <c r="G34" s="7">
        <v>1</v>
      </c>
      <c r="H34" s="8">
        <v>0.12</v>
      </c>
      <c r="I34" s="9">
        <v>0</v>
      </c>
      <c r="J34" s="1"/>
      <c r="K34" s="7">
        <v>1091</v>
      </c>
      <c r="L34" s="7">
        <v>0</v>
      </c>
      <c r="M34" s="1"/>
      <c r="N34" s="1" t="s">
        <v>19</v>
      </c>
      <c r="O34" s="10" t="s">
        <v>0</v>
      </c>
    </row>
    <row r="35" spans="1:15" ht="23" customHeight="1">
      <c r="A35" s="6">
        <v>45404</v>
      </c>
      <c r="B35" s="1" t="s">
        <v>17</v>
      </c>
      <c r="C35" s="1" t="s">
        <v>18</v>
      </c>
      <c r="D35" s="7">
        <v>5202</v>
      </c>
      <c r="E35" s="7">
        <v>5418</v>
      </c>
      <c r="F35" s="7">
        <v>2500</v>
      </c>
      <c r="G35" s="7">
        <v>0</v>
      </c>
      <c r="H35" s="8">
        <v>0</v>
      </c>
      <c r="I35" s="9">
        <v>0</v>
      </c>
      <c r="J35" s="1"/>
      <c r="K35" s="7">
        <v>1056</v>
      </c>
      <c r="L35" s="7">
        <v>0</v>
      </c>
      <c r="M35" s="1"/>
      <c r="N35" s="1" t="s">
        <v>19</v>
      </c>
      <c r="O35" s="10" t="s">
        <v>0</v>
      </c>
    </row>
    <row r="36" spans="1:15" ht="23" customHeight="1">
      <c r="A36" s="6">
        <v>45411</v>
      </c>
      <c r="B36" s="1" t="s">
        <v>17</v>
      </c>
      <c r="C36" s="1" t="s">
        <v>18</v>
      </c>
      <c r="D36" s="7">
        <v>4779</v>
      </c>
      <c r="E36" s="7">
        <v>5237</v>
      </c>
      <c r="F36" s="7">
        <v>2500</v>
      </c>
      <c r="G36" s="7">
        <v>0</v>
      </c>
      <c r="H36" s="8">
        <v>0</v>
      </c>
      <c r="I36" s="9">
        <v>0</v>
      </c>
      <c r="J36" s="1"/>
      <c r="K36" s="7">
        <v>1049</v>
      </c>
      <c r="L36" s="7">
        <v>0</v>
      </c>
      <c r="M36" s="1"/>
      <c r="N36" s="1" t="s">
        <v>19</v>
      </c>
      <c r="O36" s="10" t="s">
        <v>0</v>
      </c>
    </row>
    <row r="37" spans="1:15" ht="23" customHeight="1">
      <c r="A37" s="6">
        <v>45418</v>
      </c>
      <c r="B37" s="1" t="s">
        <v>17</v>
      </c>
      <c r="C37" s="1" t="s">
        <v>18</v>
      </c>
      <c r="D37" s="7">
        <v>6066</v>
      </c>
      <c r="E37" s="7">
        <v>5610</v>
      </c>
      <c r="F37" s="7">
        <v>2500</v>
      </c>
      <c r="G37" s="7">
        <v>1</v>
      </c>
      <c r="H37" s="8">
        <v>0.1</v>
      </c>
      <c r="I37" s="9">
        <v>0</v>
      </c>
      <c r="J37" s="1"/>
      <c r="K37" s="7">
        <v>1038</v>
      </c>
      <c r="L37" s="7">
        <v>0</v>
      </c>
      <c r="M37" s="1"/>
      <c r="N37" s="1" t="s">
        <v>19</v>
      </c>
      <c r="O37" s="10" t="s">
        <v>0</v>
      </c>
    </row>
    <row r="38" spans="1:15" ht="23" customHeight="1">
      <c r="A38" s="6">
        <v>45425</v>
      </c>
      <c r="B38" s="1" t="s">
        <v>17</v>
      </c>
      <c r="C38" s="1" t="s">
        <v>18</v>
      </c>
      <c r="D38" s="7">
        <v>5499</v>
      </c>
      <c r="E38" s="7">
        <v>5134</v>
      </c>
      <c r="F38" s="7">
        <v>2500</v>
      </c>
      <c r="G38" s="7">
        <v>0</v>
      </c>
      <c r="H38" s="8">
        <v>0</v>
      </c>
      <c r="I38" s="9">
        <v>0</v>
      </c>
      <c r="J38" s="1"/>
      <c r="K38" s="7">
        <v>1040</v>
      </c>
      <c r="L38" s="7">
        <v>0</v>
      </c>
      <c r="M38" s="1"/>
      <c r="N38" s="1" t="s">
        <v>19</v>
      </c>
      <c r="O38" s="10" t="s">
        <v>0</v>
      </c>
    </row>
    <row r="39" spans="1:15" ht="23" customHeight="1">
      <c r="A39" s="6">
        <v>45432</v>
      </c>
      <c r="B39" s="1" t="s">
        <v>17</v>
      </c>
      <c r="C39" s="1" t="s">
        <v>18</v>
      </c>
      <c r="D39" s="7">
        <v>5131</v>
      </c>
      <c r="E39" s="7">
        <v>5137</v>
      </c>
      <c r="F39" s="7">
        <v>2500</v>
      </c>
      <c r="G39" s="7">
        <v>0</v>
      </c>
      <c r="H39" s="8">
        <v>0</v>
      </c>
      <c r="I39" s="9">
        <v>0</v>
      </c>
      <c r="J39" s="1"/>
      <c r="K39" s="7">
        <v>1039</v>
      </c>
      <c r="L39" s="7">
        <v>0</v>
      </c>
      <c r="M39" s="1"/>
      <c r="N39" s="1" t="s">
        <v>19</v>
      </c>
      <c r="O39" s="10" t="s">
        <v>0</v>
      </c>
    </row>
    <row r="40" spans="1:15" ht="23" customHeight="1">
      <c r="A40" s="6">
        <v>45439</v>
      </c>
      <c r="B40" s="1" t="s">
        <v>17</v>
      </c>
      <c r="C40" s="1" t="s">
        <v>18</v>
      </c>
      <c r="D40" s="7">
        <v>4775</v>
      </c>
      <c r="E40" s="7">
        <v>5126</v>
      </c>
      <c r="F40" s="7">
        <v>2500</v>
      </c>
      <c r="G40" s="7">
        <v>0</v>
      </c>
      <c r="H40" s="8">
        <v>0</v>
      </c>
      <c r="I40" s="9">
        <v>0</v>
      </c>
      <c r="J40" s="1"/>
      <c r="K40" s="7">
        <v>1010</v>
      </c>
      <c r="L40" s="7">
        <v>0</v>
      </c>
      <c r="M40" s="1"/>
      <c r="N40" s="1" t="s">
        <v>19</v>
      </c>
      <c r="O40" s="10" t="s">
        <v>0</v>
      </c>
    </row>
    <row r="41" spans="1:15" ht="23" customHeight="1">
      <c r="A41" s="6">
        <v>45446</v>
      </c>
      <c r="B41" s="1" t="s">
        <v>17</v>
      </c>
      <c r="C41" s="1" t="s">
        <v>18</v>
      </c>
      <c r="D41" s="7">
        <v>5943</v>
      </c>
      <c r="E41" s="7">
        <v>5376</v>
      </c>
      <c r="F41" s="7">
        <v>2500</v>
      </c>
      <c r="G41" s="7">
        <v>1</v>
      </c>
      <c r="H41" s="8">
        <v>0.08</v>
      </c>
      <c r="I41" s="9">
        <v>0</v>
      </c>
      <c r="J41" s="1"/>
      <c r="K41" s="7">
        <v>1036</v>
      </c>
      <c r="L41" s="7">
        <v>0</v>
      </c>
      <c r="M41" s="1"/>
      <c r="N41" s="1" t="s">
        <v>19</v>
      </c>
      <c r="O41" s="10" t="s">
        <v>0</v>
      </c>
    </row>
    <row r="42" spans="1:15" ht="23" customHeight="1">
      <c r="A42" s="6">
        <v>45453</v>
      </c>
      <c r="B42" s="1" t="s">
        <v>17</v>
      </c>
      <c r="C42" s="1" t="s">
        <v>18</v>
      </c>
      <c r="D42" s="7">
        <v>5556</v>
      </c>
      <c r="E42" s="7">
        <v>5611</v>
      </c>
      <c r="F42" s="7">
        <v>2500</v>
      </c>
      <c r="G42" s="7">
        <v>0</v>
      </c>
      <c r="H42" s="8">
        <v>0</v>
      </c>
      <c r="I42" s="9">
        <v>1</v>
      </c>
      <c r="J42" s="1" t="s">
        <v>25</v>
      </c>
      <c r="K42" s="7">
        <v>1018</v>
      </c>
      <c r="L42" s="7">
        <v>0</v>
      </c>
      <c r="M42" s="1"/>
      <c r="N42" s="1" t="s">
        <v>19</v>
      </c>
      <c r="O42" s="10" t="s">
        <v>0</v>
      </c>
    </row>
    <row r="43" spans="1:15" ht="23" customHeight="1">
      <c r="A43" s="6">
        <v>45460</v>
      </c>
      <c r="B43" s="1" t="s">
        <v>17</v>
      </c>
      <c r="C43" s="1" t="s">
        <v>18</v>
      </c>
      <c r="D43" s="7">
        <v>5235</v>
      </c>
      <c r="E43" s="7">
        <v>5509</v>
      </c>
      <c r="F43" s="7">
        <v>2500</v>
      </c>
      <c r="G43" s="7">
        <v>0</v>
      </c>
      <c r="H43" s="8">
        <v>0</v>
      </c>
      <c r="I43" s="9">
        <v>1</v>
      </c>
      <c r="J43" s="1" t="s">
        <v>25</v>
      </c>
      <c r="K43" s="7">
        <v>1002</v>
      </c>
      <c r="L43" s="7">
        <v>0</v>
      </c>
      <c r="M43" s="1"/>
      <c r="N43" s="1" t="s">
        <v>19</v>
      </c>
      <c r="O43" s="10" t="s">
        <v>0</v>
      </c>
    </row>
    <row r="44" spans="1:15" ht="23" customHeight="1">
      <c r="A44" s="6">
        <v>45467</v>
      </c>
      <c r="B44" s="1" t="s">
        <v>17</v>
      </c>
      <c r="C44" s="1" t="s">
        <v>18</v>
      </c>
      <c r="D44" s="7">
        <v>5009</v>
      </c>
      <c r="E44" s="7">
        <v>4926</v>
      </c>
      <c r="F44" s="7">
        <v>2500</v>
      </c>
      <c r="G44" s="7">
        <v>0</v>
      </c>
      <c r="H44" s="8">
        <v>0</v>
      </c>
      <c r="I44" s="9">
        <v>0</v>
      </c>
      <c r="J44" s="1"/>
      <c r="K44" s="7">
        <v>998</v>
      </c>
      <c r="L44" s="7">
        <v>0</v>
      </c>
      <c r="M44" s="1"/>
      <c r="N44" s="1" t="s">
        <v>19</v>
      </c>
      <c r="O44" s="10" t="s">
        <v>0</v>
      </c>
    </row>
    <row r="45" spans="1:15" ht="23" customHeight="1">
      <c r="A45" s="6">
        <v>45474</v>
      </c>
      <c r="B45" s="1" t="s">
        <v>17</v>
      </c>
      <c r="C45" s="1" t="s">
        <v>18</v>
      </c>
      <c r="D45" s="7">
        <v>5126</v>
      </c>
      <c r="E45" s="7">
        <v>4904</v>
      </c>
      <c r="F45" s="7">
        <v>2500</v>
      </c>
      <c r="G45" s="7">
        <v>0</v>
      </c>
      <c r="H45" s="8">
        <v>0</v>
      </c>
      <c r="I45" s="9">
        <v>0</v>
      </c>
      <c r="J45" s="1"/>
      <c r="K45" s="7">
        <v>998</v>
      </c>
      <c r="L45" s="7">
        <v>0</v>
      </c>
      <c r="M45" s="1"/>
      <c r="N45" s="1" t="s">
        <v>19</v>
      </c>
      <c r="O45" s="10" t="s">
        <v>0</v>
      </c>
    </row>
    <row r="46" spans="1:15" ht="23" customHeight="1">
      <c r="A46" s="6">
        <v>45481</v>
      </c>
      <c r="B46" s="1" t="s">
        <v>17</v>
      </c>
      <c r="C46" s="1" t="s">
        <v>18</v>
      </c>
      <c r="D46" s="7">
        <v>4409</v>
      </c>
      <c r="E46" s="7">
        <v>4903</v>
      </c>
      <c r="F46" s="7">
        <v>2600</v>
      </c>
      <c r="G46" s="7">
        <v>0</v>
      </c>
      <c r="H46" s="8">
        <v>0</v>
      </c>
      <c r="I46" s="9">
        <v>0</v>
      </c>
      <c r="J46" s="1"/>
      <c r="K46" s="7">
        <v>1020</v>
      </c>
      <c r="L46" s="7">
        <v>0</v>
      </c>
      <c r="M46" s="1"/>
      <c r="N46" s="1" t="s">
        <v>19</v>
      </c>
      <c r="O46" s="10" t="s">
        <v>0</v>
      </c>
    </row>
    <row r="47" spans="1:15" ht="23" customHeight="1">
      <c r="A47" s="6">
        <v>45488</v>
      </c>
      <c r="B47" s="1" t="s">
        <v>17</v>
      </c>
      <c r="C47" s="1" t="s">
        <v>18</v>
      </c>
      <c r="D47" s="7">
        <v>6686</v>
      </c>
      <c r="E47" s="7">
        <v>5348</v>
      </c>
      <c r="F47" s="7">
        <v>2600</v>
      </c>
      <c r="G47" s="7">
        <v>1</v>
      </c>
      <c r="H47" s="8">
        <v>0.12</v>
      </c>
      <c r="I47" s="9">
        <v>0</v>
      </c>
      <c r="J47" s="1"/>
      <c r="K47" s="7">
        <v>1002</v>
      </c>
      <c r="L47" s="7">
        <v>0</v>
      </c>
      <c r="M47" s="1"/>
      <c r="N47" s="1" t="s">
        <v>19</v>
      </c>
      <c r="O47" s="10" t="s">
        <v>0</v>
      </c>
    </row>
    <row r="48" spans="1:15" ht="23" customHeight="1">
      <c r="A48" s="6">
        <v>45495</v>
      </c>
      <c r="B48" s="1" t="s">
        <v>17</v>
      </c>
      <c r="C48" s="1" t="s">
        <v>18</v>
      </c>
      <c r="D48" s="7">
        <v>4320</v>
      </c>
      <c r="E48" s="7">
        <v>4865</v>
      </c>
      <c r="F48" s="7">
        <v>2600</v>
      </c>
      <c r="G48" s="7">
        <v>0</v>
      </c>
      <c r="H48" s="8">
        <v>0</v>
      </c>
      <c r="I48" s="9">
        <v>0</v>
      </c>
      <c r="J48" s="1"/>
      <c r="K48" s="7">
        <v>1009</v>
      </c>
      <c r="L48" s="7">
        <v>0</v>
      </c>
      <c r="M48" s="1"/>
      <c r="N48" s="1" t="s">
        <v>19</v>
      </c>
      <c r="O48" s="10" t="s">
        <v>0</v>
      </c>
    </row>
    <row r="49" spans="1:15" ht="23" customHeight="1">
      <c r="A49" s="6">
        <v>45502</v>
      </c>
      <c r="B49" s="1" t="s">
        <v>17</v>
      </c>
      <c r="C49" s="1" t="s">
        <v>18</v>
      </c>
      <c r="D49" s="7">
        <v>4468</v>
      </c>
      <c r="E49" s="7">
        <v>4900</v>
      </c>
      <c r="F49" s="7">
        <v>2600</v>
      </c>
      <c r="G49" s="7">
        <v>0</v>
      </c>
      <c r="H49" s="8">
        <v>0</v>
      </c>
      <c r="I49" s="9">
        <v>0</v>
      </c>
      <c r="J49" s="1"/>
      <c r="K49" s="7">
        <v>1017</v>
      </c>
      <c r="L49" s="7">
        <v>0</v>
      </c>
      <c r="M49" s="1"/>
      <c r="N49" s="1" t="s">
        <v>19</v>
      </c>
      <c r="O49" s="10" t="s">
        <v>0</v>
      </c>
    </row>
    <row r="50" spans="1:15" ht="23" customHeight="1">
      <c r="A50" s="6">
        <v>45509</v>
      </c>
      <c r="B50" s="1" t="s">
        <v>17</v>
      </c>
      <c r="C50" s="1" t="s">
        <v>18</v>
      </c>
      <c r="D50" s="7">
        <v>4875</v>
      </c>
      <c r="E50" s="7">
        <v>5336</v>
      </c>
      <c r="F50" s="7">
        <v>2600</v>
      </c>
      <c r="G50" s="7">
        <v>1</v>
      </c>
      <c r="H50" s="8">
        <v>0.1</v>
      </c>
      <c r="I50" s="9">
        <v>0</v>
      </c>
      <c r="J50" s="1"/>
      <c r="K50" s="7">
        <v>1023</v>
      </c>
      <c r="L50" s="7">
        <v>0</v>
      </c>
      <c r="M50" s="1" t="s">
        <v>26</v>
      </c>
      <c r="N50" s="1" t="s">
        <v>19</v>
      </c>
      <c r="O50" s="10" t="s">
        <v>0</v>
      </c>
    </row>
    <row r="51" spans="1:15" ht="23" customHeight="1">
      <c r="A51" s="6">
        <v>45516</v>
      </c>
      <c r="B51" s="1" t="s">
        <v>17</v>
      </c>
      <c r="C51" s="1" t="s">
        <v>18</v>
      </c>
      <c r="D51" s="7">
        <v>4287</v>
      </c>
      <c r="E51" s="7">
        <v>4973</v>
      </c>
      <c r="F51" s="7">
        <v>2600</v>
      </c>
      <c r="G51" s="7">
        <v>0</v>
      </c>
      <c r="H51" s="8">
        <v>0</v>
      </c>
      <c r="I51" s="9">
        <v>0</v>
      </c>
      <c r="J51" s="1"/>
      <c r="K51" s="7">
        <v>1031</v>
      </c>
      <c r="L51" s="7">
        <v>0</v>
      </c>
      <c r="M51" s="1" t="s">
        <v>26</v>
      </c>
      <c r="N51" s="1" t="s">
        <v>19</v>
      </c>
      <c r="O51" s="10" t="s">
        <v>0</v>
      </c>
    </row>
    <row r="52" spans="1:15" ht="23" customHeight="1">
      <c r="A52" s="6">
        <v>45523</v>
      </c>
      <c r="B52" s="1" t="s">
        <v>17</v>
      </c>
      <c r="C52" s="1" t="s">
        <v>18</v>
      </c>
      <c r="D52" s="7">
        <v>5676</v>
      </c>
      <c r="E52" s="7">
        <v>5016</v>
      </c>
      <c r="F52" s="7">
        <v>2600</v>
      </c>
      <c r="G52" s="7">
        <v>0</v>
      </c>
      <c r="H52" s="8">
        <v>0</v>
      </c>
      <c r="I52" s="9">
        <v>0</v>
      </c>
      <c r="J52" s="1"/>
      <c r="K52" s="7">
        <v>1037</v>
      </c>
      <c r="L52" s="7">
        <v>0</v>
      </c>
      <c r="M52" s="1"/>
      <c r="N52" s="1" t="s">
        <v>19</v>
      </c>
      <c r="O52" s="10" t="s">
        <v>0</v>
      </c>
    </row>
    <row r="53" spans="1:15" ht="23" customHeight="1">
      <c r="A53" s="6">
        <v>45530</v>
      </c>
      <c r="B53" s="1" t="s">
        <v>17</v>
      </c>
      <c r="C53" s="1" t="s">
        <v>18</v>
      </c>
      <c r="D53" s="7">
        <v>5543</v>
      </c>
      <c r="E53" s="7">
        <v>5050</v>
      </c>
      <c r="F53" s="7">
        <v>2600</v>
      </c>
      <c r="G53" s="7">
        <v>0</v>
      </c>
      <c r="H53" s="8">
        <v>0</v>
      </c>
      <c r="I53" s="9">
        <v>0</v>
      </c>
      <c r="J53" s="1"/>
      <c r="K53" s="7">
        <v>1029</v>
      </c>
      <c r="L53" s="7">
        <v>0</v>
      </c>
      <c r="M53" s="1"/>
      <c r="N53" s="1" t="s">
        <v>19</v>
      </c>
      <c r="O53" s="10" t="s">
        <v>0</v>
      </c>
    </row>
    <row r="54" spans="1:15" ht="23" customHeight="1">
      <c r="A54" s="6">
        <v>45537</v>
      </c>
      <c r="B54" s="1" t="s">
        <v>17</v>
      </c>
      <c r="C54" s="1" t="s">
        <v>18</v>
      </c>
      <c r="D54" s="7">
        <v>5986</v>
      </c>
      <c r="E54" s="7">
        <v>5418</v>
      </c>
      <c r="F54" s="7">
        <v>2600</v>
      </c>
      <c r="G54" s="7">
        <v>1</v>
      </c>
      <c r="H54" s="8">
        <v>0.1</v>
      </c>
      <c r="I54" s="9">
        <v>0</v>
      </c>
      <c r="J54" s="1"/>
      <c r="K54" s="7">
        <v>1045</v>
      </c>
      <c r="L54" s="7">
        <v>0</v>
      </c>
      <c r="M54" s="1"/>
      <c r="N54" s="1" t="s">
        <v>19</v>
      </c>
      <c r="O54" s="10" t="s">
        <v>0</v>
      </c>
    </row>
    <row r="55" spans="1:15" ht="23" customHeight="1">
      <c r="A55" s="6">
        <v>45544</v>
      </c>
      <c r="B55" s="1" t="s">
        <v>17</v>
      </c>
      <c r="C55" s="1" t="s">
        <v>18</v>
      </c>
      <c r="D55" s="7">
        <v>5184</v>
      </c>
      <c r="E55" s="7">
        <v>5101</v>
      </c>
      <c r="F55" s="7">
        <v>2600</v>
      </c>
      <c r="G55" s="7">
        <v>0</v>
      </c>
      <c r="H55" s="8">
        <v>0</v>
      </c>
      <c r="I55" s="9">
        <v>0</v>
      </c>
      <c r="J55" s="1"/>
      <c r="K55" s="7">
        <v>1060</v>
      </c>
      <c r="L55" s="7">
        <v>0</v>
      </c>
      <c r="M55" s="1"/>
      <c r="N55" s="1" t="s">
        <v>19</v>
      </c>
      <c r="O55" s="10" t="s">
        <v>0</v>
      </c>
    </row>
    <row r="56" spans="1:15" ht="23" customHeight="1">
      <c r="A56" s="6">
        <v>45551</v>
      </c>
      <c r="B56" s="1" t="s">
        <v>17</v>
      </c>
      <c r="C56" s="1" t="s">
        <v>18</v>
      </c>
      <c r="D56" s="7">
        <v>5454</v>
      </c>
      <c r="E56" s="7">
        <v>5182</v>
      </c>
      <c r="F56" s="7">
        <v>2600</v>
      </c>
      <c r="G56" s="7">
        <v>0</v>
      </c>
      <c r="H56" s="8">
        <v>0</v>
      </c>
      <c r="I56" s="9">
        <v>0</v>
      </c>
      <c r="J56" s="1"/>
      <c r="K56" s="7">
        <v>1072</v>
      </c>
      <c r="L56" s="7">
        <v>0</v>
      </c>
      <c r="M56" s="1"/>
      <c r="N56" s="1" t="s">
        <v>19</v>
      </c>
      <c r="O56" s="10" t="s">
        <v>0</v>
      </c>
    </row>
    <row r="57" spans="1:15" ht="23" customHeight="1">
      <c r="A57" s="6">
        <v>45558</v>
      </c>
      <c r="B57" s="1" t="s">
        <v>17</v>
      </c>
      <c r="C57" s="1" t="s">
        <v>18</v>
      </c>
      <c r="D57" s="7">
        <v>4799</v>
      </c>
      <c r="E57" s="7">
        <v>5248</v>
      </c>
      <c r="F57" s="7">
        <v>2600</v>
      </c>
      <c r="G57" s="7">
        <v>0</v>
      </c>
      <c r="H57" s="8">
        <v>0</v>
      </c>
      <c r="I57" s="9">
        <v>0</v>
      </c>
      <c r="J57" s="1"/>
      <c r="K57" s="7">
        <v>1059</v>
      </c>
      <c r="L57" s="7">
        <v>0</v>
      </c>
      <c r="M57" s="1"/>
      <c r="N57" s="1" t="s">
        <v>19</v>
      </c>
      <c r="O57" s="10" t="s">
        <v>0</v>
      </c>
    </row>
    <row r="58" spans="1:15" ht="23" customHeight="1">
      <c r="A58" s="6">
        <v>45565</v>
      </c>
      <c r="B58" s="1" t="s">
        <v>17</v>
      </c>
      <c r="C58" s="1" t="s">
        <v>18</v>
      </c>
      <c r="D58" s="7">
        <v>5358</v>
      </c>
      <c r="E58" s="7">
        <v>5193</v>
      </c>
      <c r="F58" s="7">
        <v>2600</v>
      </c>
      <c r="G58" s="7">
        <v>0</v>
      </c>
      <c r="H58" s="8">
        <v>0</v>
      </c>
      <c r="I58" s="9">
        <v>0</v>
      </c>
      <c r="J58" s="1"/>
      <c r="K58" s="7">
        <v>1079</v>
      </c>
      <c r="L58" s="7">
        <v>0</v>
      </c>
      <c r="M58" s="1"/>
      <c r="N58" s="1" t="s">
        <v>19</v>
      </c>
      <c r="O58" s="10" t="s">
        <v>0</v>
      </c>
    </row>
    <row r="59" spans="1:15" ht="23" customHeight="1">
      <c r="A59" s="6">
        <v>45572</v>
      </c>
      <c r="B59" s="1" t="s">
        <v>17</v>
      </c>
      <c r="C59" s="1" t="s">
        <v>18</v>
      </c>
      <c r="D59" s="7">
        <v>6222</v>
      </c>
      <c r="E59" s="7">
        <v>5301</v>
      </c>
      <c r="F59" s="7">
        <v>2600</v>
      </c>
      <c r="G59" s="7">
        <v>0</v>
      </c>
      <c r="H59" s="8">
        <v>0</v>
      </c>
      <c r="I59" s="9">
        <v>0</v>
      </c>
      <c r="J59" s="1"/>
      <c r="K59" s="7">
        <v>1099</v>
      </c>
      <c r="L59" s="7">
        <v>0</v>
      </c>
      <c r="M59" s="1"/>
      <c r="N59" s="1" t="s">
        <v>19</v>
      </c>
      <c r="O59" s="10" t="s">
        <v>0</v>
      </c>
    </row>
    <row r="60" spans="1:15" ht="23" customHeight="1">
      <c r="A60" s="6">
        <v>45579</v>
      </c>
      <c r="B60" s="1" t="s">
        <v>17</v>
      </c>
      <c r="C60" s="1" t="s">
        <v>18</v>
      </c>
      <c r="D60" s="7">
        <v>7222</v>
      </c>
      <c r="E60" s="7">
        <v>5841</v>
      </c>
      <c r="F60" s="7">
        <v>2600</v>
      </c>
      <c r="G60" s="7">
        <v>1</v>
      </c>
      <c r="H60" s="8">
        <v>0.12</v>
      </c>
      <c r="I60" s="9">
        <v>0</v>
      </c>
      <c r="J60" s="1"/>
      <c r="K60" s="7">
        <v>1079</v>
      </c>
      <c r="L60" s="7">
        <v>0</v>
      </c>
      <c r="M60" s="1"/>
      <c r="N60" s="1" t="s">
        <v>19</v>
      </c>
      <c r="O60" s="10" t="s">
        <v>0</v>
      </c>
    </row>
    <row r="61" spans="1:15" ht="23" customHeight="1">
      <c r="A61" s="6">
        <v>45586</v>
      </c>
      <c r="B61" s="1" t="s">
        <v>17</v>
      </c>
      <c r="C61" s="1" t="s">
        <v>18</v>
      </c>
      <c r="D61" s="7">
        <v>5214</v>
      </c>
      <c r="E61" s="7">
        <v>5320</v>
      </c>
      <c r="F61" s="7">
        <v>2600</v>
      </c>
      <c r="G61" s="7">
        <v>0</v>
      </c>
      <c r="H61" s="8">
        <v>0</v>
      </c>
      <c r="I61" s="9">
        <v>0</v>
      </c>
      <c r="J61" s="1"/>
      <c r="K61" s="7">
        <v>1062</v>
      </c>
      <c r="L61" s="7">
        <v>0</v>
      </c>
      <c r="M61" s="1"/>
      <c r="N61" s="1" t="s">
        <v>19</v>
      </c>
      <c r="O61" s="10" t="s">
        <v>0</v>
      </c>
    </row>
    <row r="62" spans="1:15" ht="23" customHeight="1">
      <c r="A62" s="6">
        <v>45593</v>
      </c>
      <c r="B62" s="1" t="s">
        <v>17</v>
      </c>
      <c r="C62" s="1" t="s">
        <v>18</v>
      </c>
      <c r="D62" s="7">
        <v>5458</v>
      </c>
      <c r="E62" s="7">
        <v>5246</v>
      </c>
      <c r="F62" s="7">
        <v>2600</v>
      </c>
      <c r="G62" s="7">
        <v>0</v>
      </c>
      <c r="H62" s="8">
        <v>0</v>
      </c>
      <c r="I62" s="9">
        <v>0</v>
      </c>
      <c r="J62" s="1"/>
      <c r="K62" s="7">
        <v>1073</v>
      </c>
      <c r="L62" s="7">
        <v>0</v>
      </c>
      <c r="M62" s="1"/>
      <c r="N62" s="1" t="s">
        <v>19</v>
      </c>
      <c r="O62" s="10" t="s">
        <v>0</v>
      </c>
    </row>
    <row r="63" spans="1:15" ht="23" customHeight="1">
      <c r="A63" s="6">
        <v>45600</v>
      </c>
      <c r="B63" s="1" t="s">
        <v>17</v>
      </c>
      <c r="C63" s="1" t="s">
        <v>18</v>
      </c>
      <c r="D63" s="7">
        <v>5335</v>
      </c>
      <c r="E63" s="7">
        <v>5735</v>
      </c>
      <c r="F63" s="7">
        <v>2600</v>
      </c>
      <c r="G63" s="7">
        <v>1</v>
      </c>
      <c r="H63" s="8">
        <v>0.05</v>
      </c>
      <c r="I63" s="9">
        <v>0</v>
      </c>
      <c r="J63" s="1"/>
      <c r="K63" s="7">
        <v>1062</v>
      </c>
      <c r="L63" s="7">
        <v>0</v>
      </c>
      <c r="M63" s="1"/>
      <c r="N63" s="1" t="s">
        <v>19</v>
      </c>
      <c r="O63" s="10" t="s">
        <v>0</v>
      </c>
    </row>
    <row r="64" spans="1:15" ht="23" customHeight="1">
      <c r="A64" s="6">
        <v>45607</v>
      </c>
      <c r="B64" s="1" t="s">
        <v>17</v>
      </c>
      <c r="C64" s="1" t="s">
        <v>18</v>
      </c>
      <c r="D64" s="7">
        <v>4779</v>
      </c>
      <c r="E64" s="7">
        <v>5266</v>
      </c>
      <c r="F64" s="7">
        <v>2600</v>
      </c>
      <c r="G64" s="7">
        <v>0</v>
      </c>
      <c r="H64" s="8">
        <v>0</v>
      </c>
      <c r="I64" s="9">
        <v>0</v>
      </c>
      <c r="J64" s="1"/>
      <c r="K64" s="7">
        <v>1026</v>
      </c>
      <c r="L64" s="7">
        <v>0</v>
      </c>
      <c r="M64" s="1"/>
      <c r="N64" s="1" t="s">
        <v>19</v>
      </c>
      <c r="O64" s="10" t="s">
        <v>0</v>
      </c>
    </row>
    <row r="65" spans="1:15" ht="23" customHeight="1">
      <c r="A65" s="6">
        <v>45614</v>
      </c>
      <c r="B65" s="1" t="s">
        <v>17</v>
      </c>
      <c r="C65" s="1" t="s">
        <v>18</v>
      </c>
      <c r="D65" s="7">
        <v>5223</v>
      </c>
      <c r="E65" s="7">
        <v>5097</v>
      </c>
      <c r="F65" s="7">
        <v>2600</v>
      </c>
      <c r="G65" s="7">
        <v>0</v>
      </c>
      <c r="H65" s="8">
        <v>0</v>
      </c>
      <c r="I65" s="9">
        <v>0</v>
      </c>
      <c r="J65" s="1"/>
      <c r="K65" s="7">
        <v>1021</v>
      </c>
      <c r="L65" s="7">
        <v>0</v>
      </c>
      <c r="M65" s="1"/>
      <c r="N65" s="1" t="s">
        <v>19</v>
      </c>
      <c r="O65" s="10" t="s">
        <v>0</v>
      </c>
    </row>
    <row r="66" spans="1:15" ht="23" customHeight="1">
      <c r="A66" s="6">
        <v>45621</v>
      </c>
      <c r="B66" s="1" t="s">
        <v>17</v>
      </c>
      <c r="C66" s="1" t="s">
        <v>18</v>
      </c>
      <c r="D66" s="7">
        <v>4941</v>
      </c>
      <c r="E66" s="7">
        <v>5081</v>
      </c>
      <c r="F66" s="7">
        <v>2550</v>
      </c>
      <c r="G66" s="7">
        <v>0</v>
      </c>
      <c r="H66" s="8">
        <v>0</v>
      </c>
      <c r="I66" s="9">
        <v>0</v>
      </c>
      <c r="J66" s="1"/>
      <c r="K66" s="7">
        <v>1026</v>
      </c>
      <c r="L66" s="7">
        <v>0</v>
      </c>
      <c r="M66" s="1"/>
      <c r="N66" s="1" t="s">
        <v>19</v>
      </c>
      <c r="O66" s="10" t="s">
        <v>0</v>
      </c>
    </row>
    <row r="67" spans="1:15" ht="23" customHeight="1">
      <c r="A67" s="6">
        <v>45628</v>
      </c>
      <c r="B67" s="1" t="s">
        <v>17</v>
      </c>
      <c r="C67" s="1" t="s">
        <v>18</v>
      </c>
      <c r="D67" s="7">
        <v>7721</v>
      </c>
      <c r="E67" s="7">
        <v>5556</v>
      </c>
      <c r="F67" s="7">
        <v>2550</v>
      </c>
      <c r="G67" s="7">
        <v>1</v>
      </c>
      <c r="H67" s="8">
        <v>0.12</v>
      </c>
      <c r="I67" s="9">
        <v>0</v>
      </c>
      <c r="J67" s="1"/>
      <c r="K67" s="7">
        <v>1020</v>
      </c>
      <c r="L67" s="7">
        <v>0</v>
      </c>
      <c r="M67" s="1"/>
      <c r="N67" s="1" t="s">
        <v>19</v>
      </c>
      <c r="O67" s="10" t="s">
        <v>0</v>
      </c>
    </row>
    <row r="68" spans="1:15" ht="23" customHeight="1">
      <c r="A68" s="6">
        <v>45635</v>
      </c>
      <c r="B68" s="1" t="s">
        <v>17</v>
      </c>
      <c r="C68" s="1" t="s">
        <v>18</v>
      </c>
      <c r="D68" s="7">
        <v>5179</v>
      </c>
      <c r="E68" s="7">
        <v>5123</v>
      </c>
      <c r="F68" s="7">
        <v>2550</v>
      </c>
      <c r="G68" s="7">
        <v>0</v>
      </c>
      <c r="H68" s="8">
        <v>0</v>
      </c>
      <c r="I68" s="9">
        <v>0</v>
      </c>
      <c r="J68" s="1"/>
      <c r="K68" s="7">
        <v>1014</v>
      </c>
      <c r="L68" s="7">
        <v>0</v>
      </c>
      <c r="M68" s="1"/>
      <c r="N68" s="1" t="s">
        <v>19</v>
      </c>
      <c r="O68" s="10" t="s">
        <v>0</v>
      </c>
    </row>
    <row r="69" spans="1:15" ht="23" customHeight="1">
      <c r="A69" s="6">
        <v>45642</v>
      </c>
      <c r="B69" s="1" t="s">
        <v>17</v>
      </c>
      <c r="C69" s="1" t="s">
        <v>18</v>
      </c>
      <c r="D69" s="7">
        <v>5240</v>
      </c>
      <c r="E69" s="7">
        <v>5101</v>
      </c>
      <c r="F69" s="7">
        <v>2550</v>
      </c>
      <c r="G69" s="7">
        <v>0</v>
      </c>
      <c r="H69" s="8">
        <v>0</v>
      </c>
      <c r="I69" s="9">
        <v>0</v>
      </c>
      <c r="J69" s="1"/>
      <c r="K69" s="7">
        <v>1011</v>
      </c>
      <c r="L69" s="7">
        <v>0</v>
      </c>
      <c r="M69" s="1"/>
      <c r="N69" s="1" t="s">
        <v>19</v>
      </c>
      <c r="O69" s="10" t="s">
        <v>0</v>
      </c>
    </row>
    <row r="70" spans="1:15" ht="23" customHeight="1">
      <c r="A70" s="6">
        <v>45649</v>
      </c>
      <c r="B70" s="1" t="s">
        <v>17</v>
      </c>
      <c r="C70" s="1" t="s">
        <v>18</v>
      </c>
      <c r="D70" s="7">
        <v>5399</v>
      </c>
      <c r="E70" s="7">
        <v>5093</v>
      </c>
      <c r="F70" s="7">
        <v>2550</v>
      </c>
      <c r="G70" s="7">
        <v>0</v>
      </c>
      <c r="H70" s="8">
        <v>0</v>
      </c>
      <c r="I70" s="9">
        <v>0</v>
      </c>
      <c r="J70" s="1"/>
      <c r="K70" s="7">
        <v>1017</v>
      </c>
      <c r="L70" s="7">
        <v>0</v>
      </c>
      <c r="M70" s="1"/>
      <c r="N70" s="1" t="s">
        <v>19</v>
      </c>
      <c r="O70" s="10" t="s">
        <v>0</v>
      </c>
    </row>
    <row r="71" spans="1:15" ht="23" customHeight="1">
      <c r="A71" s="6">
        <v>45656</v>
      </c>
      <c r="B71" s="1" t="s">
        <v>17</v>
      </c>
      <c r="C71" s="1" t="s">
        <v>18</v>
      </c>
      <c r="D71" s="7">
        <v>5258</v>
      </c>
      <c r="E71" s="7">
        <v>5130</v>
      </c>
      <c r="F71" s="7">
        <v>2550</v>
      </c>
      <c r="G71" s="7">
        <v>0</v>
      </c>
      <c r="H71" s="8">
        <v>0</v>
      </c>
      <c r="I71" s="9">
        <v>0</v>
      </c>
      <c r="J71" s="1"/>
      <c r="K71" s="7">
        <v>1053</v>
      </c>
      <c r="L71" s="7">
        <v>0</v>
      </c>
      <c r="M71" s="1"/>
      <c r="N71" s="1" t="s">
        <v>19</v>
      </c>
      <c r="O71" s="10" t="s">
        <v>0</v>
      </c>
    </row>
    <row r="72" spans="1:15" ht="23" customHeight="1">
      <c r="A72" s="6">
        <v>45663</v>
      </c>
      <c r="B72" s="1" t="s">
        <v>17</v>
      </c>
      <c r="C72" s="1" t="s">
        <v>18</v>
      </c>
      <c r="D72" s="7">
        <v>5143</v>
      </c>
      <c r="E72" s="7">
        <v>5317</v>
      </c>
      <c r="F72" s="7">
        <v>2550</v>
      </c>
      <c r="G72" s="7">
        <v>0</v>
      </c>
      <c r="H72" s="8">
        <v>0</v>
      </c>
      <c r="I72" s="9">
        <v>0</v>
      </c>
      <c r="J72" s="1"/>
      <c r="K72" s="7">
        <v>1043</v>
      </c>
      <c r="L72" s="7">
        <v>0</v>
      </c>
      <c r="M72" s="1"/>
      <c r="N72" s="1" t="s">
        <v>19</v>
      </c>
      <c r="O72" s="10" t="s">
        <v>0</v>
      </c>
    </row>
    <row r="73" spans="1:15" ht="23" customHeight="1">
      <c r="A73" s="6">
        <v>45670</v>
      </c>
      <c r="B73" s="1" t="s">
        <v>17</v>
      </c>
      <c r="C73" s="1" t="s">
        <v>18</v>
      </c>
      <c r="D73" s="7">
        <v>6114</v>
      </c>
      <c r="E73" s="7">
        <v>5693</v>
      </c>
      <c r="F73" s="7">
        <v>2550</v>
      </c>
      <c r="G73" s="7">
        <v>1</v>
      </c>
      <c r="H73" s="8">
        <v>0.12</v>
      </c>
      <c r="I73" s="9">
        <v>0</v>
      </c>
      <c r="J73" s="1"/>
      <c r="K73" s="7">
        <v>1024</v>
      </c>
      <c r="L73" s="7">
        <v>0</v>
      </c>
      <c r="M73" s="1"/>
      <c r="N73" s="1" t="s">
        <v>19</v>
      </c>
      <c r="O73" s="10" t="s">
        <v>0</v>
      </c>
    </row>
    <row r="74" spans="1:15" ht="23" customHeight="1">
      <c r="A74" s="6">
        <v>45677</v>
      </c>
      <c r="B74" s="1" t="s">
        <v>17</v>
      </c>
      <c r="C74" s="1" t="s">
        <v>18</v>
      </c>
      <c r="D74" s="7">
        <v>5163</v>
      </c>
      <c r="E74" s="7">
        <v>5180</v>
      </c>
      <c r="F74" s="7">
        <v>2550</v>
      </c>
      <c r="G74" s="7">
        <v>0</v>
      </c>
      <c r="H74" s="8">
        <v>0</v>
      </c>
      <c r="I74" s="9">
        <v>0</v>
      </c>
      <c r="J74" s="1"/>
      <c r="K74" s="7">
        <v>1041</v>
      </c>
      <c r="L74" s="7">
        <v>0</v>
      </c>
      <c r="M74" s="1"/>
      <c r="N74" s="1" t="s">
        <v>19</v>
      </c>
      <c r="O74" s="10" t="s">
        <v>0</v>
      </c>
    </row>
    <row r="75" spans="1:15" ht="23" customHeight="1">
      <c r="A75" s="6">
        <v>45684</v>
      </c>
      <c r="B75" s="1" t="s">
        <v>17</v>
      </c>
      <c r="C75" s="1" t="s">
        <v>18</v>
      </c>
      <c r="D75" s="7">
        <v>4597</v>
      </c>
      <c r="E75" s="7">
        <v>5269</v>
      </c>
      <c r="F75" s="7">
        <v>2550</v>
      </c>
      <c r="G75" s="7">
        <v>0</v>
      </c>
      <c r="H75" s="8">
        <v>0</v>
      </c>
      <c r="I75" s="9">
        <v>0</v>
      </c>
      <c r="J75" s="1"/>
      <c r="K75" s="7">
        <v>1056</v>
      </c>
      <c r="L75" s="7">
        <v>0</v>
      </c>
      <c r="M75" s="1"/>
      <c r="N75" s="1" t="s">
        <v>19</v>
      </c>
      <c r="O75" s="10" t="s">
        <v>0</v>
      </c>
    </row>
    <row r="76" spans="1:15" ht="23" customHeight="1">
      <c r="A76" s="6">
        <v>45691</v>
      </c>
      <c r="B76" s="1" t="s">
        <v>17</v>
      </c>
      <c r="C76" s="1" t="s">
        <v>18</v>
      </c>
      <c r="D76" s="7">
        <v>6075</v>
      </c>
      <c r="E76" s="7">
        <v>5775</v>
      </c>
      <c r="F76" s="7">
        <v>2550</v>
      </c>
      <c r="G76" s="7">
        <v>1</v>
      </c>
      <c r="H76" s="8">
        <v>0.05</v>
      </c>
      <c r="I76" s="9">
        <v>0</v>
      </c>
      <c r="J76" s="1"/>
      <c r="K76" s="7">
        <v>1054</v>
      </c>
      <c r="L76" s="7">
        <v>0</v>
      </c>
      <c r="M76" s="1"/>
      <c r="N76" s="1" t="s">
        <v>19</v>
      </c>
      <c r="O76" s="10" t="s">
        <v>0</v>
      </c>
    </row>
    <row r="77" spans="1:15" ht="23" customHeight="1">
      <c r="A77" s="6">
        <v>45698</v>
      </c>
      <c r="B77" s="1" t="s">
        <v>17</v>
      </c>
      <c r="C77" s="1" t="s">
        <v>18</v>
      </c>
      <c r="D77" s="7">
        <v>5157</v>
      </c>
      <c r="E77" s="7">
        <v>5339</v>
      </c>
      <c r="F77" s="7">
        <v>2550</v>
      </c>
      <c r="G77" s="7">
        <v>0</v>
      </c>
      <c r="H77" s="8">
        <v>0</v>
      </c>
      <c r="I77" s="9">
        <v>0</v>
      </c>
      <c r="J77" s="1"/>
      <c r="K77" s="7">
        <v>1070</v>
      </c>
      <c r="L77" s="7">
        <v>0</v>
      </c>
      <c r="M77" s="1"/>
      <c r="N77" s="1" t="s">
        <v>19</v>
      </c>
      <c r="O77" s="10" t="s">
        <v>0</v>
      </c>
    </row>
    <row r="78" spans="1:15" ht="23" customHeight="1">
      <c r="A78" s="6">
        <v>45705</v>
      </c>
      <c r="B78" s="1" t="s">
        <v>17</v>
      </c>
      <c r="C78" s="1" t="s">
        <v>18</v>
      </c>
      <c r="D78" s="7">
        <v>6029</v>
      </c>
      <c r="E78" s="7">
        <v>5962</v>
      </c>
      <c r="F78" s="7">
        <v>2550</v>
      </c>
      <c r="G78" s="7">
        <v>0</v>
      </c>
      <c r="H78" s="8">
        <v>0</v>
      </c>
      <c r="I78" s="9">
        <v>1</v>
      </c>
      <c r="J78" s="1" t="s">
        <v>20</v>
      </c>
      <c r="K78" s="7">
        <v>1083</v>
      </c>
      <c r="L78" s="7">
        <v>0</v>
      </c>
      <c r="M78" s="1"/>
      <c r="N78" s="1" t="s">
        <v>19</v>
      </c>
      <c r="O78" s="10" t="s">
        <v>0</v>
      </c>
    </row>
    <row r="79" spans="1:15" ht="23" customHeight="1">
      <c r="A79" s="6">
        <v>45712</v>
      </c>
      <c r="B79" s="1" t="s">
        <v>17</v>
      </c>
      <c r="C79" s="1" t="s">
        <v>18</v>
      </c>
      <c r="D79" s="7">
        <v>6460</v>
      </c>
      <c r="E79" s="7">
        <v>6034</v>
      </c>
      <c r="F79" s="7">
        <v>2550</v>
      </c>
      <c r="G79" s="7">
        <v>0</v>
      </c>
      <c r="H79" s="8">
        <v>0</v>
      </c>
      <c r="I79" s="9">
        <v>1</v>
      </c>
      <c r="J79" s="1" t="s">
        <v>20</v>
      </c>
      <c r="K79" s="7">
        <v>1083</v>
      </c>
      <c r="L79" s="7">
        <v>0</v>
      </c>
      <c r="M79" s="1"/>
      <c r="N79" s="1" t="s">
        <v>19</v>
      </c>
      <c r="O79" s="10" t="s">
        <v>0</v>
      </c>
    </row>
    <row r="80" spans="1:15" ht="23" customHeight="1">
      <c r="A80" s="6">
        <v>45719</v>
      </c>
      <c r="B80" s="1" t="s">
        <v>17</v>
      </c>
      <c r="C80" s="1" t="s">
        <v>18</v>
      </c>
      <c r="D80" s="7">
        <v>7510</v>
      </c>
      <c r="E80" s="7">
        <v>6471</v>
      </c>
      <c r="F80" s="7">
        <v>2550</v>
      </c>
      <c r="G80" s="7">
        <v>1</v>
      </c>
      <c r="H80" s="8">
        <v>0.08</v>
      </c>
      <c r="I80" s="9">
        <v>1</v>
      </c>
      <c r="J80" s="1" t="s">
        <v>21</v>
      </c>
      <c r="K80" s="7">
        <v>1088</v>
      </c>
      <c r="L80" s="7">
        <v>0</v>
      </c>
      <c r="M80" s="1"/>
      <c r="N80" s="1" t="s">
        <v>19</v>
      </c>
      <c r="O80" s="10" t="s">
        <v>0</v>
      </c>
    </row>
    <row r="81" spans="1:15" ht="23" customHeight="1">
      <c r="A81" s="6">
        <v>45726</v>
      </c>
      <c r="B81" s="1" t="s">
        <v>17</v>
      </c>
      <c r="C81" s="1" t="s">
        <v>18</v>
      </c>
      <c r="D81" s="7">
        <v>5817</v>
      </c>
      <c r="E81" s="7">
        <v>6057</v>
      </c>
      <c r="F81" s="7">
        <v>2550</v>
      </c>
      <c r="G81" s="7">
        <v>0</v>
      </c>
      <c r="H81" s="8">
        <v>0</v>
      </c>
      <c r="I81" s="9">
        <v>1</v>
      </c>
      <c r="J81" s="1" t="s">
        <v>22</v>
      </c>
      <c r="K81" s="7">
        <v>1096</v>
      </c>
      <c r="L81" s="7">
        <v>0</v>
      </c>
      <c r="M81" s="1"/>
      <c r="N81" s="1" t="s">
        <v>19</v>
      </c>
      <c r="O81" s="10" t="s">
        <v>0</v>
      </c>
    </row>
    <row r="82" spans="1:15" ht="23" customHeight="1">
      <c r="A82" s="6">
        <v>45733</v>
      </c>
      <c r="B82" s="1" t="s">
        <v>17</v>
      </c>
      <c r="C82" s="1" t="s">
        <v>18</v>
      </c>
      <c r="D82" s="7">
        <v>5263</v>
      </c>
      <c r="E82" s="7">
        <v>6098</v>
      </c>
      <c r="F82" s="7">
        <v>2550</v>
      </c>
      <c r="G82" s="7">
        <v>0</v>
      </c>
      <c r="H82" s="8">
        <v>0</v>
      </c>
      <c r="I82" s="9">
        <v>1</v>
      </c>
      <c r="J82" s="1" t="s">
        <v>22</v>
      </c>
      <c r="K82" s="7">
        <v>1092</v>
      </c>
      <c r="L82" s="7">
        <v>0</v>
      </c>
      <c r="M82" s="1"/>
      <c r="N82" s="1" t="s">
        <v>19</v>
      </c>
      <c r="O82" s="10" t="s">
        <v>0</v>
      </c>
    </row>
    <row r="83" spans="1:15" ht="23" customHeight="1">
      <c r="A83" s="6">
        <v>45740</v>
      </c>
      <c r="B83" s="1" t="s">
        <v>17</v>
      </c>
      <c r="C83" s="1" t="s">
        <v>18</v>
      </c>
      <c r="D83" s="7">
        <v>6535</v>
      </c>
      <c r="E83" s="7">
        <v>6071</v>
      </c>
      <c r="F83" s="7">
        <v>2550</v>
      </c>
      <c r="G83" s="7">
        <v>0</v>
      </c>
      <c r="H83" s="8">
        <v>0</v>
      </c>
      <c r="I83" s="9">
        <v>1</v>
      </c>
      <c r="J83" s="1" t="s">
        <v>24</v>
      </c>
      <c r="K83" s="7">
        <v>1072</v>
      </c>
      <c r="L83" s="7">
        <v>0</v>
      </c>
      <c r="M83" s="1"/>
      <c r="N83" s="1" t="s">
        <v>19</v>
      </c>
      <c r="O83" s="10" t="s">
        <v>0</v>
      </c>
    </row>
    <row r="84" spans="1:15" ht="23" customHeight="1">
      <c r="A84" s="6">
        <v>45747</v>
      </c>
      <c r="B84" s="1" t="s">
        <v>17</v>
      </c>
      <c r="C84" s="1" t="s">
        <v>18</v>
      </c>
      <c r="D84" s="7">
        <v>6183</v>
      </c>
      <c r="E84" s="7">
        <v>5955</v>
      </c>
      <c r="F84" s="7">
        <v>2550</v>
      </c>
      <c r="G84" s="7">
        <v>0</v>
      </c>
      <c r="H84" s="8">
        <v>0</v>
      </c>
      <c r="I84" s="9">
        <v>1</v>
      </c>
      <c r="J84" s="1" t="s">
        <v>24</v>
      </c>
      <c r="K84" s="7">
        <v>1086</v>
      </c>
      <c r="L84" s="7">
        <v>0</v>
      </c>
      <c r="M84" s="1"/>
      <c r="N84" s="1" t="s">
        <v>19</v>
      </c>
      <c r="O84" s="10" t="s">
        <v>0</v>
      </c>
    </row>
    <row r="85" spans="1:15" ht="23" customHeight="1">
      <c r="A85" s="6">
        <v>45754</v>
      </c>
      <c r="B85" s="1" t="s">
        <v>17</v>
      </c>
      <c r="C85" s="1" t="s">
        <v>18</v>
      </c>
      <c r="D85" s="7">
        <v>4790</v>
      </c>
      <c r="E85" s="7">
        <v>5478</v>
      </c>
      <c r="F85" s="7">
        <v>2550</v>
      </c>
      <c r="G85" s="7">
        <v>0</v>
      </c>
      <c r="H85" s="8">
        <v>0</v>
      </c>
      <c r="I85" s="9">
        <v>0</v>
      </c>
      <c r="J85" s="1"/>
      <c r="K85" s="7">
        <v>1089</v>
      </c>
      <c r="L85" s="7">
        <v>0</v>
      </c>
      <c r="M85" s="1"/>
      <c r="N85" s="1" t="s">
        <v>19</v>
      </c>
      <c r="O85" s="10" t="s">
        <v>0</v>
      </c>
    </row>
    <row r="86" spans="1:15" ht="23" customHeight="1">
      <c r="A86" s="6">
        <v>45761</v>
      </c>
      <c r="B86" s="1" t="s">
        <v>17</v>
      </c>
      <c r="C86" s="1" t="s">
        <v>18</v>
      </c>
      <c r="D86" s="7">
        <v>7488</v>
      </c>
      <c r="E86" s="7">
        <v>5926</v>
      </c>
      <c r="F86" s="7">
        <v>2650</v>
      </c>
      <c r="G86" s="7">
        <v>1</v>
      </c>
      <c r="H86" s="8">
        <v>0.12</v>
      </c>
      <c r="I86" s="9">
        <v>0</v>
      </c>
      <c r="J86" s="1"/>
      <c r="K86" s="7">
        <v>1083</v>
      </c>
      <c r="L86" s="7">
        <v>0</v>
      </c>
      <c r="M86" s="1"/>
      <c r="N86" s="1" t="s">
        <v>19</v>
      </c>
      <c r="O86" s="10" t="s">
        <v>0</v>
      </c>
    </row>
    <row r="87" spans="1:15" ht="23" customHeight="1">
      <c r="A87" s="6">
        <v>45768</v>
      </c>
      <c r="B87" s="1" t="s">
        <v>17</v>
      </c>
      <c r="C87" s="1" t="s">
        <v>18</v>
      </c>
      <c r="D87" s="7">
        <v>4991</v>
      </c>
      <c r="E87" s="7">
        <v>5388</v>
      </c>
      <c r="F87" s="7">
        <v>2650</v>
      </c>
      <c r="G87" s="7">
        <v>0</v>
      </c>
      <c r="H87" s="8">
        <v>0</v>
      </c>
      <c r="I87" s="9">
        <v>0</v>
      </c>
      <c r="J87" s="1"/>
      <c r="K87" s="7">
        <v>1063</v>
      </c>
      <c r="L87" s="7">
        <v>0</v>
      </c>
      <c r="M87" s="1"/>
      <c r="N87" s="1" t="s">
        <v>19</v>
      </c>
      <c r="O87" s="10" t="s">
        <v>0</v>
      </c>
    </row>
    <row r="88" spans="1:15" ht="23" customHeight="1">
      <c r="A88" s="6">
        <v>45775</v>
      </c>
      <c r="B88" s="1" t="s">
        <v>17</v>
      </c>
      <c r="C88" s="1" t="s">
        <v>18</v>
      </c>
      <c r="D88" s="7">
        <v>4989</v>
      </c>
      <c r="E88" s="7">
        <v>5281</v>
      </c>
      <c r="F88" s="7">
        <v>2650</v>
      </c>
      <c r="G88" s="7">
        <v>0</v>
      </c>
      <c r="H88" s="8">
        <v>0</v>
      </c>
      <c r="I88" s="9">
        <v>0</v>
      </c>
      <c r="J88" s="1"/>
      <c r="K88" s="7">
        <v>1059</v>
      </c>
      <c r="L88" s="7">
        <v>0</v>
      </c>
      <c r="M88" s="1"/>
      <c r="N88" s="1" t="s">
        <v>19</v>
      </c>
      <c r="O88" s="10" t="s">
        <v>0</v>
      </c>
    </row>
    <row r="89" spans="1:15" ht="23" customHeight="1">
      <c r="A89" s="6">
        <v>45782</v>
      </c>
      <c r="B89" s="1" t="s">
        <v>17</v>
      </c>
      <c r="C89" s="1" t="s">
        <v>18</v>
      </c>
      <c r="D89" s="7">
        <v>6120</v>
      </c>
      <c r="E89" s="7">
        <v>5675</v>
      </c>
      <c r="F89" s="7">
        <v>2650</v>
      </c>
      <c r="G89" s="7">
        <v>1</v>
      </c>
      <c r="H89" s="8">
        <v>0.08</v>
      </c>
      <c r="I89" s="9">
        <v>0</v>
      </c>
      <c r="J89" s="1"/>
      <c r="K89" s="7">
        <v>1057</v>
      </c>
      <c r="L89" s="7">
        <v>0</v>
      </c>
      <c r="M89" s="1"/>
      <c r="N89" s="1" t="s">
        <v>19</v>
      </c>
      <c r="O89" s="10" t="s">
        <v>0</v>
      </c>
    </row>
    <row r="90" spans="1:15" ht="23" customHeight="1">
      <c r="A90" s="6">
        <v>45789</v>
      </c>
      <c r="B90" s="1" t="s">
        <v>17</v>
      </c>
      <c r="C90" s="1" t="s">
        <v>18</v>
      </c>
      <c r="D90" s="7">
        <v>6765</v>
      </c>
      <c r="E90" s="7">
        <v>5237</v>
      </c>
      <c r="F90" s="7">
        <v>2650</v>
      </c>
      <c r="G90" s="7">
        <v>0</v>
      </c>
      <c r="H90" s="8">
        <v>0</v>
      </c>
      <c r="I90" s="9">
        <v>0</v>
      </c>
      <c r="J90" s="1"/>
      <c r="K90" s="7">
        <v>1046</v>
      </c>
      <c r="L90" s="7">
        <v>0</v>
      </c>
      <c r="M90" s="1" t="s">
        <v>27</v>
      </c>
      <c r="N90" s="1" t="s">
        <v>19</v>
      </c>
      <c r="O90" s="10" t="s">
        <v>0</v>
      </c>
    </row>
    <row r="91" spans="1:15" ht="23" customHeight="1">
      <c r="A91" s="6">
        <v>45796</v>
      </c>
      <c r="B91" s="1" t="s">
        <v>17</v>
      </c>
      <c r="C91" s="1" t="s">
        <v>18</v>
      </c>
      <c r="D91" s="7">
        <v>5766</v>
      </c>
      <c r="E91" s="7">
        <v>5175</v>
      </c>
      <c r="F91" s="7">
        <v>2650</v>
      </c>
      <c r="G91" s="7">
        <v>0</v>
      </c>
      <c r="H91" s="8">
        <v>0</v>
      </c>
      <c r="I91" s="9">
        <v>0</v>
      </c>
      <c r="J91" s="1"/>
      <c r="K91" s="7">
        <v>1054</v>
      </c>
      <c r="L91" s="7">
        <v>0</v>
      </c>
      <c r="M91" s="1" t="s">
        <v>27</v>
      </c>
      <c r="N91" s="1" t="s">
        <v>19</v>
      </c>
      <c r="O91" s="10" t="s">
        <v>0</v>
      </c>
    </row>
    <row r="92" spans="1:15" ht="23" customHeight="1">
      <c r="A92" s="6">
        <v>45803</v>
      </c>
      <c r="B92" s="1" t="s">
        <v>17</v>
      </c>
      <c r="C92" s="1" t="s">
        <v>18</v>
      </c>
      <c r="D92" s="7">
        <v>5349</v>
      </c>
      <c r="E92" s="7">
        <v>5728</v>
      </c>
      <c r="F92" s="7">
        <v>2650</v>
      </c>
      <c r="G92" s="7">
        <v>0</v>
      </c>
      <c r="H92" s="8">
        <v>0</v>
      </c>
      <c r="I92" s="9">
        <v>1</v>
      </c>
      <c r="J92" s="1" t="s">
        <v>25</v>
      </c>
      <c r="K92" s="7">
        <v>1055</v>
      </c>
      <c r="L92" s="7">
        <v>0</v>
      </c>
      <c r="M92" s="1"/>
      <c r="N92" s="1" t="s">
        <v>19</v>
      </c>
      <c r="O92" s="10" t="s">
        <v>0</v>
      </c>
    </row>
    <row r="93" spans="1:15" ht="23" customHeight="1">
      <c r="A93" s="6">
        <v>45810</v>
      </c>
      <c r="B93" s="1" t="s">
        <v>17</v>
      </c>
      <c r="C93" s="1" t="s">
        <v>18</v>
      </c>
      <c r="D93" s="7">
        <v>8791</v>
      </c>
      <c r="E93" s="7">
        <v>6141</v>
      </c>
      <c r="F93" s="7">
        <v>2650</v>
      </c>
      <c r="G93" s="7">
        <v>1</v>
      </c>
      <c r="H93" s="8">
        <v>0.05</v>
      </c>
      <c r="I93" s="9">
        <v>1</v>
      </c>
      <c r="J93" s="1" t="s">
        <v>25</v>
      </c>
      <c r="K93" s="7">
        <v>1046</v>
      </c>
      <c r="L93" s="7">
        <v>0</v>
      </c>
      <c r="M93" s="1"/>
      <c r="N93" s="1" t="s">
        <v>19</v>
      </c>
      <c r="O93" s="10" t="s">
        <v>0</v>
      </c>
    </row>
    <row r="94" spans="1:15" ht="23" customHeight="1">
      <c r="A94" s="6">
        <v>45817</v>
      </c>
      <c r="B94" s="1" t="s">
        <v>17</v>
      </c>
      <c r="C94" s="1" t="s">
        <v>18</v>
      </c>
      <c r="D94" s="7">
        <v>5405</v>
      </c>
      <c r="E94" s="7">
        <v>5668</v>
      </c>
      <c r="F94" s="7">
        <v>2650</v>
      </c>
      <c r="G94" s="7">
        <v>0</v>
      </c>
      <c r="H94" s="8">
        <v>0</v>
      </c>
      <c r="I94" s="9">
        <v>1</v>
      </c>
      <c r="J94" s="1" t="s">
        <v>25</v>
      </c>
      <c r="K94" s="7">
        <v>1042</v>
      </c>
      <c r="L94" s="7">
        <v>0</v>
      </c>
      <c r="M94" s="1"/>
      <c r="N94" s="1" t="s">
        <v>19</v>
      </c>
      <c r="O94" s="10" t="s">
        <v>0</v>
      </c>
    </row>
    <row r="95" spans="1:15" ht="23" customHeight="1">
      <c r="A95" s="6">
        <v>45824</v>
      </c>
      <c r="B95" s="1" t="s">
        <v>17</v>
      </c>
      <c r="C95" s="1" t="s">
        <v>18</v>
      </c>
      <c r="D95" s="7">
        <v>5269</v>
      </c>
      <c r="E95" s="7">
        <v>5127</v>
      </c>
      <c r="F95" s="7">
        <v>2650</v>
      </c>
      <c r="G95" s="7">
        <v>0</v>
      </c>
      <c r="H95" s="8">
        <v>0</v>
      </c>
      <c r="I95" s="9">
        <v>0</v>
      </c>
      <c r="J95" s="1"/>
      <c r="K95" s="7">
        <v>1053</v>
      </c>
      <c r="L95" s="7">
        <v>0</v>
      </c>
      <c r="M95" s="1"/>
      <c r="N95" s="1" t="s">
        <v>19</v>
      </c>
      <c r="O95" s="10" t="s">
        <v>0</v>
      </c>
    </row>
    <row r="96" spans="1:15" ht="23" customHeight="1">
      <c r="A96" s="6">
        <v>45831</v>
      </c>
      <c r="B96" s="1" t="s">
        <v>17</v>
      </c>
      <c r="C96" s="1" t="s">
        <v>18</v>
      </c>
      <c r="D96" s="7">
        <v>4999</v>
      </c>
      <c r="E96" s="7">
        <v>5174</v>
      </c>
      <c r="F96" s="7">
        <v>2650</v>
      </c>
      <c r="G96" s="7">
        <v>0</v>
      </c>
      <c r="H96" s="8">
        <v>0</v>
      </c>
      <c r="I96" s="9">
        <v>0</v>
      </c>
      <c r="J96" s="1"/>
      <c r="K96" s="7">
        <v>1061</v>
      </c>
      <c r="L96" s="7">
        <v>0</v>
      </c>
      <c r="M96" s="1"/>
      <c r="N96" s="1" t="s">
        <v>19</v>
      </c>
      <c r="O96" s="10" t="s">
        <v>0</v>
      </c>
    </row>
    <row r="97" spans="1:15" ht="23" customHeight="1">
      <c r="A97" s="6">
        <v>45838</v>
      </c>
      <c r="B97" s="1" t="s">
        <v>17</v>
      </c>
      <c r="C97" s="1" t="s">
        <v>18</v>
      </c>
      <c r="D97" s="7">
        <v>5246</v>
      </c>
      <c r="E97" s="7">
        <v>5208</v>
      </c>
      <c r="F97" s="7">
        <v>2650</v>
      </c>
      <c r="G97" s="7">
        <v>0</v>
      </c>
      <c r="H97" s="8">
        <v>0</v>
      </c>
      <c r="I97" s="9">
        <v>0</v>
      </c>
      <c r="J97" s="1"/>
      <c r="K97" s="7">
        <v>1083</v>
      </c>
      <c r="L97" s="7">
        <v>0</v>
      </c>
      <c r="M97" s="1"/>
      <c r="N97" s="1" t="s">
        <v>19</v>
      </c>
      <c r="O97" s="10" t="s">
        <v>0</v>
      </c>
    </row>
    <row r="98" spans="1:15" ht="23" customHeight="1">
      <c r="A98" s="6">
        <v>45845</v>
      </c>
      <c r="B98" s="1" t="s">
        <v>17</v>
      </c>
      <c r="C98" s="1" t="s">
        <v>18</v>
      </c>
      <c r="D98" s="7">
        <v>5263</v>
      </c>
      <c r="E98" s="7">
        <v>5310</v>
      </c>
      <c r="F98" s="7">
        <v>2650</v>
      </c>
      <c r="G98" s="7">
        <v>0</v>
      </c>
      <c r="H98" s="8">
        <v>0</v>
      </c>
      <c r="I98" s="9">
        <v>0</v>
      </c>
      <c r="J98" s="1"/>
      <c r="K98" s="7">
        <v>1077</v>
      </c>
      <c r="L98" s="7">
        <v>0</v>
      </c>
      <c r="M98" s="1"/>
      <c r="N98" s="1" t="s">
        <v>19</v>
      </c>
      <c r="O98" s="10" t="s">
        <v>0</v>
      </c>
    </row>
    <row r="99" spans="1:15" ht="23" customHeight="1">
      <c r="A99" s="6">
        <v>45852</v>
      </c>
      <c r="B99" s="1" t="s">
        <v>17</v>
      </c>
      <c r="C99" s="1" t="s">
        <v>18</v>
      </c>
      <c r="D99" s="7">
        <v>8135</v>
      </c>
      <c r="E99" s="7">
        <v>5698</v>
      </c>
      <c r="F99" s="7">
        <v>2650</v>
      </c>
      <c r="G99" s="7">
        <v>1</v>
      </c>
      <c r="H99" s="8">
        <v>0.1</v>
      </c>
      <c r="I99" s="9">
        <v>0</v>
      </c>
      <c r="J99" s="1"/>
      <c r="K99" s="7">
        <v>1104</v>
      </c>
      <c r="L99" s="7">
        <v>0</v>
      </c>
      <c r="M99" s="1"/>
      <c r="N99" s="1" t="s">
        <v>19</v>
      </c>
      <c r="O99" s="10" t="s">
        <v>0</v>
      </c>
    </row>
    <row r="100" spans="1:15" ht="23" customHeight="1">
      <c r="A100" s="6">
        <v>45859</v>
      </c>
      <c r="B100" s="1" t="s">
        <v>17</v>
      </c>
      <c r="C100" s="1" t="s">
        <v>18</v>
      </c>
      <c r="D100" s="7">
        <v>5465</v>
      </c>
      <c r="E100" s="7">
        <v>5405</v>
      </c>
      <c r="F100" s="7">
        <v>2650</v>
      </c>
      <c r="G100" s="7">
        <v>0</v>
      </c>
      <c r="H100" s="8">
        <v>0</v>
      </c>
      <c r="I100" s="9">
        <v>0</v>
      </c>
      <c r="J100" s="1"/>
      <c r="K100" s="7">
        <v>1113</v>
      </c>
      <c r="L100" s="7">
        <v>0</v>
      </c>
      <c r="M100" s="1"/>
      <c r="N100" s="1" t="s">
        <v>19</v>
      </c>
      <c r="O100" s="10" t="s">
        <v>0</v>
      </c>
    </row>
    <row r="101" spans="1:15" ht="23" customHeight="1">
      <c r="A101" s="6">
        <v>45866</v>
      </c>
      <c r="B101" s="1" t="s">
        <v>17</v>
      </c>
      <c r="C101" s="1" t="s">
        <v>18</v>
      </c>
      <c r="D101" s="7">
        <v>5625</v>
      </c>
      <c r="E101" s="7">
        <v>5446</v>
      </c>
      <c r="F101" s="7">
        <v>2650</v>
      </c>
      <c r="G101" s="7">
        <v>0</v>
      </c>
      <c r="H101" s="8">
        <v>0</v>
      </c>
      <c r="I101" s="9">
        <v>0</v>
      </c>
      <c r="J101" s="1"/>
      <c r="K101" s="7">
        <v>1102</v>
      </c>
      <c r="L101" s="7">
        <v>0</v>
      </c>
      <c r="M101" s="1"/>
      <c r="N101" s="1" t="s">
        <v>19</v>
      </c>
      <c r="O101" s="10" t="s">
        <v>0</v>
      </c>
    </row>
    <row r="102" spans="1:15" ht="23" customHeight="1">
      <c r="A102" s="6">
        <v>45873</v>
      </c>
      <c r="B102" s="1" t="s">
        <v>17</v>
      </c>
      <c r="C102" s="1" t="s">
        <v>18</v>
      </c>
      <c r="D102" s="7">
        <v>6873</v>
      </c>
      <c r="E102" s="7">
        <v>5821</v>
      </c>
      <c r="F102" s="7">
        <v>2650</v>
      </c>
      <c r="G102" s="7">
        <v>1</v>
      </c>
      <c r="H102" s="8">
        <v>0.12</v>
      </c>
      <c r="I102" s="9">
        <v>0</v>
      </c>
      <c r="J102" s="1"/>
      <c r="K102" s="7">
        <v>1114</v>
      </c>
      <c r="L102" s="7">
        <v>0</v>
      </c>
      <c r="M102" s="1"/>
      <c r="N102" s="1" t="s">
        <v>19</v>
      </c>
      <c r="O102" s="10" t="s">
        <v>0</v>
      </c>
    </row>
    <row r="103" spans="1:15" ht="23" customHeight="1">
      <c r="A103" s="6">
        <v>45880</v>
      </c>
      <c r="B103" s="1" t="s">
        <v>17</v>
      </c>
      <c r="C103" s="1" t="s">
        <v>18</v>
      </c>
      <c r="D103" s="7">
        <v>5866</v>
      </c>
      <c r="E103" s="7">
        <v>5447</v>
      </c>
      <c r="F103" s="7">
        <v>2650</v>
      </c>
      <c r="G103" s="7">
        <v>0</v>
      </c>
      <c r="H103" s="8">
        <v>0</v>
      </c>
      <c r="I103" s="9">
        <v>0</v>
      </c>
      <c r="J103" s="1"/>
      <c r="K103" s="7">
        <v>1116</v>
      </c>
      <c r="L103" s="7">
        <v>0</v>
      </c>
      <c r="M103" s="1"/>
      <c r="N103" s="1" t="s">
        <v>19</v>
      </c>
      <c r="O103" s="10" t="s">
        <v>0</v>
      </c>
    </row>
    <row r="104" spans="1:15" ht="23" customHeight="1">
      <c r="A104" s="6">
        <v>45887</v>
      </c>
      <c r="B104" s="1" t="s">
        <v>17</v>
      </c>
      <c r="C104" s="1" t="s">
        <v>18</v>
      </c>
      <c r="D104" s="7">
        <v>5168</v>
      </c>
      <c r="E104" s="7">
        <v>5456</v>
      </c>
      <c r="F104" s="7">
        <v>2650</v>
      </c>
      <c r="G104" s="7">
        <v>0</v>
      </c>
      <c r="H104" s="8">
        <v>0</v>
      </c>
      <c r="I104" s="9">
        <v>0</v>
      </c>
      <c r="J104" s="1"/>
      <c r="K104" s="7">
        <v>1105</v>
      </c>
      <c r="L104" s="7">
        <v>0</v>
      </c>
      <c r="M104" s="1"/>
      <c r="N104" s="1" t="s">
        <v>19</v>
      </c>
      <c r="O104" s="10" t="s">
        <v>0</v>
      </c>
    </row>
    <row r="105" spans="1:15" ht="23" customHeight="1">
      <c r="A105" s="6">
        <v>45894</v>
      </c>
      <c r="B105" s="1" t="s">
        <v>17</v>
      </c>
      <c r="C105" s="1" t="s">
        <v>18</v>
      </c>
      <c r="D105" s="7">
        <v>5833</v>
      </c>
      <c r="E105" s="7">
        <v>5403</v>
      </c>
      <c r="F105" s="7">
        <v>2650</v>
      </c>
      <c r="G105" s="7">
        <v>0</v>
      </c>
      <c r="H105" s="8">
        <v>0</v>
      </c>
      <c r="I105" s="9">
        <v>0</v>
      </c>
      <c r="J105" s="1"/>
      <c r="K105" s="7">
        <v>1128</v>
      </c>
      <c r="L105" s="7">
        <v>0</v>
      </c>
      <c r="M105" s="1"/>
      <c r="N105" s="1" t="s">
        <v>19</v>
      </c>
      <c r="O105" s="10" t="s">
        <v>0</v>
      </c>
    </row>
    <row r="106" spans="1:15" ht="23" customHeight="1">
      <c r="A106" s="6">
        <v>45901</v>
      </c>
      <c r="B106" s="1" t="s">
        <v>17</v>
      </c>
      <c r="C106" s="1" t="s">
        <v>18</v>
      </c>
      <c r="D106" s="7">
        <v>7200</v>
      </c>
      <c r="E106" s="7">
        <v>5959</v>
      </c>
      <c r="F106" s="7">
        <v>2750</v>
      </c>
      <c r="G106" s="7">
        <v>1</v>
      </c>
      <c r="H106" s="8">
        <v>0.05</v>
      </c>
      <c r="I106" s="9">
        <v>0</v>
      </c>
      <c r="J106" s="1"/>
      <c r="K106" s="7">
        <v>1118</v>
      </c>
      <c r="L106" s="7">
        <v>0</v>
      </c>
      <c r="M106" s="1"/>
      <c r="N106" s="1" t="s">
        <v>19</v>
      </c>
      <c r="O106" s="10" t="s">
        <v>0</v>
      </c>
    </row>
    <row r="107" spans="1:15" ht="23" customHeight="1">
      <c r="A107" s="6">
        <v>45908</v>
      </c>
      <c r="B107" s="1" t="s">
        <v>17</v>
      </c>
      <c r="C107" s="1" t="s">
        <v>18</v>
      </c>
      <c r="D107" s="7">
        <v>5729</v>
      </c>
      <c r="E107" s="7">
        <v>5411</v>
      </c>
      <c r="F107" s="7">
        <v>2750</v>
      </c>
      <c r="G107" s="7">
        <v>0</v>
      </c>
      <c r="H107" s="8">
        <v>0</v>
      </c>
      <c r="I107" s="9">
        <v>0</v>
      </c>
      <c r="J107" s="1"/>
      <c r="K107" s="7">
        <v>1092</v>
      </c>
      <c r="L107" s="7">
        <v>0</v>
      </c>
      <c r="M107" s="1"/>
      <c r="N107" s="1" t="s">
        <v>19</v>
      </c>
      <c r="O107" s="10" t="s">
        <v>0</v>
      </c>
    </row>
    <row r="108" spans="1:15" ht="23" customHeight="1">
      <c r="A108" s="6">
        <v>45915</v>
      </c>
      <c r="B108" s="1" t="s">
        <v>17</v>
      </c>
      <c r="C108" s="1" t="s">
        <v>18</v>
      </c>
      <c r="D108" s="7">
        <v>5870</v>
      </c>
      <c r="E108" s="7">
        <v>5289</v>
      </c>
      <c r="F108" s="7">
        <v>2750</v>
      </c>
      <c r="G108" s="7">
        <v>0</v>
      </c>
      <c r="H108" s="8">
        <v>0</v>
      </c>
      <c r="I108" s="9">
        <v>0</v>
      </c>
      <c r="J108" s="1"/>
      <c r="K108" s="7">
        <v>1102</v>
      </c>
      <c r="L108" s="7">
        <v>0</v>
      </c>
      <c r="M108" s="1"/>
      <c r="N108" s="1" t="s">
        <v>19</v>
      </c>
      <c r="O108" s="10" t="s">
        <v>0</v>
      </c>
    </row>
    <row r="109" spans="1:15" ht="23" customHeight="1">
      <c r="A109" s="6">
        <v>45922</v>
      </c>
      <c r="B109" s="1" t="s">
        <v>17</v>
      </c>
      <c r="C109" s="1" t="s">
        <v>18</v>
      </c>
      <c r="D109" s="7">
        <v>5720</v>
      </c>
      <c r="E109" s="7">
        <v>5342</v>
      </c>
      <c r="F109" s="7">
        <v>2750</v>
      </c>
      <c r="G109" s="7">
        <v>0</v>
      </c>
      <c r="H109" s="8">
        <v>0</v>
      </c>
      <c r="I109" s="9">
        <v>0</v>
      </c>
      <c r="J109" s="1"/>
      <c r="K109" s="7">
        <v>1093</v>
      </c>
      <c r="L109" s="7">
        <v>0</v>
      </c>
      <c r="M109" s="1"/>
      <c r="N109" s="1" t="s">
        <v>19</v>
      </c>
      <c r="O109" s="10" t="s">
        <v>0</v>
      </c>
    </row>
    <row r="110" spans="1:15" ht="23" customHeight="1">
      <c r="A110" s="6">
        <v>45929</v>
      </c>
      <c r="B110" s="1" t="s">
        <v>17</v>
      </c>
      <c r="C110" s="1" t="s">
        <v>18</v>
      </c>
      <c r="D110" s="7">
        <v>4820</v>
      </c>
      <c r="E110" s="7">
        <v>5304</v>
      </c>
      <c r="F110" s="7">
        <v>2750</v>
      </c>
      <c r="G110" s="7">
        <v>0</v>
      </c>
      <c r="H110" s="8">
        <v>0</v>
      </c>
      <c r="I110" s="9">
        <v>0</v>
      </c>
      <c r="J110" s="1"/>
      <c r="K110" s="7">
        <v>1088</v>
      </c>
      <c r="L110" s="7">
        <v>0</v>
      </c>
      <c r="M110" s="1"/>
      <c r="N110" s="1" t="s">
        <v>19</v>
      </c>
      <c r="O110" s="10" t="s">
        <v>0</v>
      </c>
    </row>
    <row r="111" spans="1:15" ht="23" customHeight="1">
      <c r="A111" s="6">
        <v>45936</v>
      </c>
      <c r="B111" s="1" t="s">
        <v>17</v>
      </c>
      <c r="C111" s="1" t="s">
        <v>18</v>
      </c>
      <c r="D111" s="7">
        <v>6649</v>
      </c>
      <c r="E111" s="7">
        <v>5286</v>
      </c>
      <c r="F111" s="7">
        <v>2750</v>
      </c>
      <c r="G111" s="7">
        <v>0</v>
      </c>
      <c r="H111" s="8">
        <v>0</v>
      </c>
      <c r="I111" s="9">
        <v>0</v>
      </c>
      <c r="J111" s="1"/>
      <c r="K111" s="7">
        <v>1074</v>
      </c>
      <c r="L111" s="7">
        <v>0</v>
      </c>
      <c r="M111" s="1"/>
      <c r="N111" s="1" t="s">
        <v>19</v>
      </c>
      <c r="O111" s="10" t="s">
        <v>0</v>
      </c>
    </row>
    <row r="112" spans="1:15" ht="23" customHeight="1">
      <c r="A112" s="6">
        <v>45943</v>
      </c>
      <c r="B112" s="1" t="s">
        <v>17</v>
      </c>
      <c r="C112" s="1" t="s">
        <v>18</v>
      </c>
      <c r="D112" s="7">
        <v>5874</v>
      </c>
      <c r="E112" s="7">
        <v>5643</v>
      </c>
      <c r="F112" s="7">
        <v>2750</v>
      </c>
      <c r="G112" s="7">
        <v>1</v>
      </c>
      <c r="H112" s="8">
        <v>0.05</v>
      </c>
      <c r="I112" s="9">
        <v>0</v>
      </c>
      <c r="J112" s="1"/>
      <c r="K112" s="7">
        <v>1072</v>
      </c>
      <c r="L112" s="7">
        <v>0</v>
      </c>
      <c r="M112" s="1"/>
      <c r="N112" s="1" t="s">
        <v>19</v>
      </c>
      <c r="O112" s="10" t="s">
        <v>0</v>
      </c>
    </row>
    <row r="113" spans="1:15" ht="23" customHeight="1">
      <c r="A113" s="6">
        <v>45950</v>
      </c>
      <c r="B113" s="1" t="s">
        <v>17</v>
      </c>
      <c r="C113" s="1" t="s">
        <v>18</v>
      </c>
      <c r="D113" s="7">
        <v>5350</v>
      </c>
      <c r="E113" s="7">
        <v>5223</v>
      </c>
      <c r="F113" s="7">
        <v>2750</v>
      </c>
      <c r="G113" s="7">
        <v>0</v>
      </c>
      <c r="H113" s="8">
        <v>0</v>
      </c>
      <c r="I113" s="9">
        <v>0</v>
      </c>
      <c r="J113" s="1"/>
      <c r="K113" s="7">
        <v>1066</v>
      </c>
      <c r="L113" s="7">
        <v>0</v>
      </c>
      <c r="M113" s="1"/>
      <c r="N113" s="1" t="s">
        <v>19</v>
      </c>
      <c r="O113" s="10" t="s">
        <v>0</v>
      </c>
    </row>
    <row r="114" spans="1:15" ht="23" customHeight="1">
      <c r="A114" s="6">
        <v>45957</v>
      </c>
      <c r="B114" s="1" t="s">
        <v>17</v>
      </c>
      <c r="C114" s="1" t="s">
        <v>18</v>
      </c>
      <c r="D114" s="7">
        <v>5570</v>
      </c>
      <c r="E114" s="7">
        <v>5202</v>
      </c>
      <c r="F114" s="7">
        <v>2750</v>
      </c>
      <c r="G114" s="7">
        <v>0</v>
      </c>
      <c r="H114" s="8">
        <v>0</v>
      </c>
      <c r="I114" s="9">
        <v>0</v>
      </c>
      <c r="J114" s="1"/>
      <c r="K114" s="7">
        <v>1082</v>
      </c>
      <c r="L114" s="7">
        <v>0</v>
      </c>
      <c r="M114" s="1"/>
      <c r="N114" s="1" t="s">
        <v>19</v>
      </c>
      <c r="O114" s="10" t="s">
        <v>0</v>
      </c>
    </row>
    <row r="115" spans="1:15" ht="23" customHeight="1">
      <c r="A115" s="6">
        <v>45964</v>
      </c>
      <c r="B115" s="1" t="s">
        <v>17</v>
      </c>
      <c r="C115" s="1" t="s">
        <v>18</v>
      </c>
      <c r="D115" s="7">
        <v>6840</v>
      </c>
      <c r="E115" s="7">
        <v>5712</v>
      </c>
      <c r="F115" s="7">
        <v>2750</v>
      </c>
      <c r="G115" s="7">
        <v>1</v>
      </c>
      <c r="H115" s="8">
        <v>0.12</v>
      </c>
      <c r="I115" s="9">
        <v>0</v>
      </c>
      <c r="J115" s="1"/>
      <c r="K115" s="7">
        <v>1055</v>
      </c>
      <c r="L115" s="7">
        <v>0</v>
      </c>
      <c r="M115" s="1"/>
      <c r="N115" s="1" t="s">
        <v>19</v>
      </c>
      <c r="O115" s="10" t="s">
        <v>0</v>
      </c>
    </row>
    <row r="116" spans="1:15" ht="23" customHeight="1">
      <c r="A116" s="6">
        <v>45971</v>
      </c>
      <c r="B116" s="1" t="s">
        <v>17</v>
      </c>
      <c r="C116" s="1" t="s">
        <v>18</v>
      </c>
      <c r="D116" s="7">
        <v>5589</v>
      </c>
      <c r="E116" s="7">
        <v>5166</v>
      </c>
      <c r="F116" s="7">
        <v>2750</v>
      </c>
      <c r="G116" s="7">
        <v>0</v>
      </c>
      <c r="H116" s="8">
        <v>0</v>
      </c>
      <c r="I116" s="9">
        <v>0</v>
      </c>
      <c r="J116" s="1"/>
      <c r="K116" s="7">
        <v>1060</v>
      </c>
      <c r="L116" s="7">
        <v>0</v>
      </c>
      <c r="M116" s="1"/>
      <c r="N116" s="1" t="s">
        <v>19</v>
      </c>
      <c r="O116" s="10" t="s">
        <v>0</v>
      </c>
    </row>
    <row r="117" spans="1:15" ht="23" customHeight="1">
      <c r="A117" s="6">
        <v>45978</v>
      </c>
      <c r="B117" s="1" t="s">
        <v>17</v>
      </c>
      <c r="C117" s="1" t="s">
        <v>18</v>
      </c>
      <c r="D117" s="7">
        <v>5854</v>
      </c>
      <c r="E117" s="7">
        <v>5200</v>
      </c>
      <c r="F117" s="7">
        <v>2750</v>
      </c>
      <c r="G117" s="7">
        <v>0</v>
      </c>
      <c r="H117" s="8">
        <v>0</v>
      </c>
      <c r="I117" s="9">
        <v>0</v>
      </c>
      <c r="J117" s="1"/>
      <c r="K117" s="7">
        <v>1095</v>
      </c>
      <c r="L117" s="7">
        <v>0</v>
      </c>
      <c r="M117" s="1"/>
      <c r="N117" s="1" t="s">
        <v>19</v>
      </c>
      <c r="O117" s="10" t="s">
        <v>0</v>
      </c>
    </row>
    <row r="118" spans="1:15" ht="23" customHeight="1">
      <c r="A118" s="6">
        <v>45985</v>
      </c>
      <c r="B118" s="1" t="s">
        <v>17</v>
      </c>
      <c r="C118" s="1" t="s">
        <v>18</v>
      </c>
      <c r="D118" s="7">
        <v>5305</v>
      </c>
      <c r="E118" s="7">
        <v>5382</v>
      </c>
      <c r="F118" s="7">
        <v>2750</v>
      </c>
      <c r="G118" s="7">
        <v>0</v>
      </c>
      <c r="H118" s="8">
        <v>0</v>
      </c>
      <c r="I118" s="9">
        <v>0</v>
      </c>
      <c r="J118" s="1"/>
      <c r="K118" s="7">
        <v>1077</v>
      </c>
      <c r="L118" s="7">
        <v>0</v>
      </c>
      <c r="M118" s="1"/>
      <c r="N118" s="1" t="s">
        <v>19</v>
      </c>
      <c r="O118" s="10" t="s">
        <v>0</v>
      </c>
    </row>
    <row r="119" spans="1:15" ht="23" customHeight="1">
      <c r="A119" s="6">
        <v>45992</v>
      </c>
      <c r="B119" s="1" t="s">
        <v>17</v>
      </c>
      <c r="C119" s="1" t="s">
        <v>18</v>
      </c>
      <c r="D119" s="7">
        <v>7305</v>
      </c>
      <c r="E119" s="7">
        <v>5728</v>
      </c>
      <c r="F119" s="7">
        <v>2750</v>
      </c>
      <c r="G119" s="7">
        <v>1</v>
      </c>
      <c r="H119" s="8">
        <v>0.08</v>
      </c>
      <c r="I119" s="9">
        <v>0</v>
      </c>
      <c r="J119" s="1"/>
      <c r="K119" s="7">
        <v>1074</v>
      </c>
      <c r="L119" s="7">
        <v>0</v>
      </c>
      <c r="M119" s="1"/>
      <c r="N119" s="1" t="s">
        <v>19</v>
      </c>
      <c r="O119" s="10" t="s">
        <v>0</v>
      </c>
    </row>
    <row r="120" spans="1:15" ht="23" customHeight="1">
      <c r="A120" s="6">
        <v>45999</v>
      </c>
      <c r="B120" s="1" t="s">
        <v>17</v>
      </c>
      <c r="C120" s="1" t="s">
        <v>18</v>
      </c>
      <c r="D120" s="7">
        <v>5307</v>
      </c>
      <c r="E120" s="7">
        <v>5299</v>
      </c>
      <c r="F120" s="7">
        <v>2750</v>
      </c>
      <c r="G120" s="7">
        <v>0</v>
      </c>
      <c r="H120" s="8">
        <v>0</v>
      </c>
      <c r="I120" s="9">
        <v>0</v>
      </c>
      <c r="J120" s="1"/>
      <c r="K120" s="7">
        <v>1072</v>
      </c>
      <c r="L120" s="7">
        <v>0</v>
      </c>
      <c r="M120" s="1"/>
      <c r="N120" s="1" t="s">
        <v>19</v>
      </c>
      <c r="O120" s="10" t="s">
        <v>0</v>
      </c>
    </row>
    <row r="121" spans="1:15" ht="23" customHeight="1">
      <c r="A121" s="6">
        <v>46006</v>
      </c>
      <c r="B121" s="1" t="s">
        <v>17</v>
      </c>
      <c r="C121" s="1" t="s">
        <v>18</v>
      </c>
      <c r="D121" s="7">
        <v>5573</v>
      </c>
      <c r="E121" s="7">
        <v>5299</v>
      </c>
      <c r="F121" s="7">
        <v>2750</v>
      </c>
      <c r="G121" s="7">
        <v>0</v>
      </c>
      <c r="H121" s="8">
        <v>0</v>
      </c>
      <c r="I121" s="9">
        <v>0</v>
      </c>
      <c r="J121" s="1"/>
      <c r="K121" s="7">
        <v>1090</v>
      </c>
      <c r="L121" s="7">
        <v>0</v>
      </c>
      <c r="M121" s="1"/>
      <c r="N121" s="1" t="s">
        <v>19</v>
      </c>
      <c r="O121" s="10" t="s">
        <v>0</v>
      </c>
    </row>
    <row r="122" spans="1:15" ht="23" customHeight="1">
      <c r="A122" s="6">
        <v>46013</v>
      </c>
      <c r="B122" s="1" t="s">
        <v>17</v>
      </c>
      <c r="C122" s="1" t="s">
        <v>18</v>
      </c>
      <c r="D122" s="7">
        <v>5645</v>
      </c>
      <c r="E122" s="7">
        <v>5398</v>
      </c>
      <c r="F122" s="7">
        <v>2750</v>
      </c>
      <c r="G122" s="7">
        <v>0</v>
      </c>
      <c r="H122" s="8">
        <v>0</v>
      </c>
      <c r="I122" s="9">
        <v>0</v>
      </c>
      <c r="J122" s="1"/>
      <c r="K122" s="7">
        <v>1093</v>
      </c>
      <c r="L122" s="7">
        <v>0</v>
      </c>
      <c r="M122" s="1"/>
      <c r="N122" s="1" t="s">
        <v>19</v>
      </c>
      <c r="O122" s="10" t="s">
        <v>0</v>
      </c>
    </row>
    <row r="123" spans="1:15" ht="23" customHeight="1">
      <c r="A123" s="6">
        <v>46020</v>
      </c>
      <c r="B123" s="1" t="s">
        <v>17</v>
      </c>
      <c r="C123" s="1" t="s">
        <v>18</v>
      </c>
      <c r="D123" s="7">
        <v>5305</v>
      </c>
      <c r="E123" s="7">
        <v>5422</v>
      </c>
      <c r="F123" s="7">
        <v>2750</v>
      </c>
      <c r="G123" s="7">
        <v>0</v>
      </c>
      <c r="H123" s="8">
        <v>0</v>
      </c>
      <c r="I123" s="9">
        <v>0</v>
      </c>
      <c r="J123" s="1"/>
      <c r="K123" s="7">
        <v>1131</v>
      </c>
      <c r="L123" s="7">
        <v>0</v>
      </c>
      <c r="M123" s="1"/>
      <c r="N123" s="1" t="s">
        <v>19</v>
      </c>
      <c r="O123" s="10" t="s">
        <v>0</v>
      </c>
    </row>
    <row r="124" spans="1:15" ht="23" customHeight="1">
      <c r="A124" s="6">
        <v>46027</v>
      </c>
      <c r="B124" s="1" t="s">
        <v>17</v>
      </c>
      <c r="C124" s="1" t="s">
        <v>18</v>
      </c>
      <c r="D124" s="7">
        <v>5756</v>
      </c>
      <c r="E124" s="7">
        <v>5620</v>
      </c>
      <c r="F124" s="7">
        <v>2750</v>
      </c>
      <c r="G124" s="7">
        <v>0</v>
      </c>
      <c r="H124" s="8">
        <v>0</v>
      </c>
      <c r="I124" s="9">
        <v>0</v>
      </c>
      <c r="J124" s="1"/>
      <c r="K124" s="7">
        <v>1137</v>
      </c>
      <c r="L124" s="7">
        <v>0</v>
      </c>
      <c r="M124" s="1"/>
      <c r="N124" s="1" t="s">
        <v>19</v>
      </c>
      <c r="O124" s="10" t="s">
        <v>0</v>
      </c>
    </row>
    <row r="125" spans="1:15" ht="23" customHeight="1">
      <c r="A125" s="6">
        <v>46034</v>
      </c>
      <c r="B125" s="1" t="s">
        <v>17</v>
      </c>
      <c r="C125" s="1" t="s">
        <v>18</v>
      </c>
      <c r="D125" s="7">
        <v>6280</v>
      </c>
      <c r="E125" s="7">
        <v>6111</v>
      </c>
      <c r="F125" s="7">
        <v>2750</v>
      </c>
      <c r="G125" s="7">
        <v>1</v>
      </c>
      <c r="H125" s="8">
        <v>0.05</v>
      </c>
      <c r="I125" s="9">
        <v>0</v>
      </c>
      <c r="J125" s="1"/>
      <c r="K125" s="7">
        <v>1133</v>
      </c>
      <c r="L125" s="7">
        <v>0</v>
      </c>
      <c r="M125" s="1"/>
      <c r="N125" s="1" t="s">
        <v>19</v>
      </c>
      <c r="O125" s="10" t="s">
        <v>0</v>
      </c>
    </row>
    <row r="126" spans="1:15" ht="23" customHeight="1">
      <c r="A126" s="6">
        <v>46041</v>
      </c>
      <c r="B126" s="1" t="s">
        <v>17</v>
      </c>
      <c r="C126" s="1" t="s">
        <v>18</v>
      </c>
      <c r="D126" s="7">
        <v>5610</v>
      </c>
      <c r="E126" s="7">
        <v>5647</v>
      </c>
      <c r="F126" s="7">
        <v>2800</v>
      </c>
      <c r="G126" s="7">
        <v>0</v>
      </c>
      <c r="H126" s="8">
        <v>0</v>
      </c>
      <c r="I126" s="9">
        <v>0</v>
      </c>
      <c r="J126" s="1"/>
      <c r="K126" s="7">
        <v>1121</v>
      </c>
      <c r="L126" s="7">
        <v>0</v>
      </c>
      <c r="M126" s="1"/>
      <c r="N126" s="1" t="s">
        <v>19</v>
      </c>
      <c r="O126" s="10" t="s">
        <v>0</v>
      </c>
    </row>
    <row r="127" spans="1:15" ht="23" customHeight="1">
      <c r="A127" s="6">
        <v>46048</v>
      </c>
      <c r="B127" s="1" t="s">
        <v>17</v>
      </c>
      <c r="C127" s="1" t="s">
        <v>18</v>
      </c>
      <c r="D127" s="7">
        <v>5307</v>
      </c>
      <c r="E127" s="7">
        <v>5565</v>
      </c>
      <c r="F127" s="7">
        <v>2800</v>
      </c>
      <c r="G127" s="7">
        <v>0</v>
      </c>
      <c r="H127" s="8">
        <v>0</v>
      </c>
      <c r="I127" s="9">
        <v>0</v>
      </c>
      <c r="J127" s="1"/>
      <c r="K127" s="7">
        <v>1140</v>
      </c>
      <c r="L127" s="7">
        <v>0</v>
      </c>
      <c r="M127" s="1"/>
      <c r="N127" s="1" t="s">
        <v>19</v>
      </c>
      <c r="O127" s="10" t="s">
        <v>0</v>
      </c>
    </row>
    <row r="128" spans="1:15" ht="23" customHeight="1">
      <c r="A128" s="6">
        <v>46055</v>
      </c>
      <c r="B128" s="1" t="s">
        <v>17</v>
      </c>
      <c r="C128" s="1" t="s">
        <v>18</v>
      </c>
      <c r="D128" s="7">
        <v>7601</v>
      </c>
      <c r="E128" s="7">
        <v>6119</v>
      </c>
      <c r="F128" s="7">
        <v>2800</v>
      </c>
      <c r="G128" s="7">
        <v>1</v>
      </c>
      <c r="H128" s="8">
        <v>0.1</v>
      </c>
      <c r="I128" s="9">
        <v>0</v>
      </c>
      <c r="J128" s="1"/>
      <c r="K128" s="7">
        <v>1154</v>
      </c>
      <c r="L128" s="7">
        <v>0</v>
      </c>
      <c r="M128" s="1"/>
      <c r="N128" s="1" t="s">
        <v>19</v>
      </c>
      <c r="O128" s="10" t="s">
        <v>0</v>
      </c>
    </row>
    <row r="129" spans="1:15" ht="23" customHeight="1">
      <c r="A129" s="6">
        <v>46062</v>
      </c>
      <c r="B129" s="1" t="s">
        <v>17</v>
      </c>
      <c r="C129" s="1" t="s">
        <v>18</v>
      </c>
      <c r="D129" s="7">
        <v>6406</v>
      </c>
      <c r="E129" s="7">
        <v>6316</v>
      </c>
      <c r="F129" s="7">
        <v>2800</v>
      </c>
      <c r="G129" s="7">
        <v>0</v>
      </c>
      <c r="H129" s="8">
        <v>0</v>
      </c>
      <c r="I129" s="9">
        <v>1</v>
      </c>
      <c r="J129" s="1" t="s">
        <v>20</v>
      </c>
      <c r="K129" s="7">
        <v>1124</v>
      </c>
      <c r="L129" s="7">
        <v>0</v>
      </c>
      <c r="M129" s="1"/>
      <c r="N129" s="1" t="s">
        <v>19</v>
      </c>
      <c r="O129" s="10" t="s">
        <v>0</v>
      </c>
    </row>
    <row r="130" spans="1:15" ht="23" customHeight="1">
      <c r="A130" s="6">
        <v>46069</v>
      </c>
      <c r="B130" s="1" t="s">
        <v>17</v>
      </c>
      <c r="C130" s="1" t="s">
        <v>18</v>
      </c>
      <c r="D130" s="7">
        <v>7041</v>
      </c>
      <c r="E130" s="7">
        <v>6157</v>
      </c>
      <c r="F130" s="7">
        <v>2800</v>
      </c>
      <c r="G130" s="7">
        <v>0</v>
      </c>
      <c r="H130" s="8">
        <v>0</v>
      </c>
      <c r="I130" s="9">
        <v>1</v>
      </c>
      <c r="J130" s="1" t="s">
        <v>21</v>
      </c>
      <c r="K130" s="7">
        <v>1138</v>
      </c>
      <c r="L130" s="7">
        <v>0</v>
      </c>
      <c r="M130" s="1"/>
      <c r="N130" s="1" t="s">
        <v>19</v>
      </c>
      <c r="O130" s="10" t="s">
        <v>0</v>
      </c>
    </row>
    <row r="131" spans="1:15" ht="23" customHeight="1">
      <c r="A131" s="6">
        <v>46076</v>
      </c>
      <c r="B131" s="1" t="s">
        <v>17</v>
      </c>
      <c r="C131" s="1" t="s">
        <v>18</v>
      </c>
      <c r="D131" s="7">
        <v>5687</v>
      </c>
      <c r="E131" s="7">
        <v>6238</v>
      </c>
      <c r="F131" s="7">
        <v>2800</v>
      </c>
      <c r="G131" s="7">
        <v>0</v>
      </c>
      <c r="H131" s="8">
        <v>0</v>
      </c>
      <c r="I131" s="9">
        <v>1</v>
      </c>
      <c r="J131" s="1" t="s">
        <v>22</v>
      </c>
      <c r="K131" s="7">
        <v>1130</v>
      </c>
      <c r="L131" s="7">
        <v>0</v>
      </c>
      <c r="M131" s="1"/>
      <c r="N131" s="1" t="s">
        <v>19</v>
      </c>
      <c r="O131" s="10" t="s">
        <v>0</v>
      </c>
    </row>
    <row r="132" spans="1:15" ht="23" customHeight="1">
      <c r="A132" s="6">
        <v>46083</v>
      </c>
      <c r="B132" s="1" t="s">
        <v>17</v>
      </c>
      <c r="C132" s="1" t="s">
        <v>18</v>
      </c>
      <c r="D132" s="7">
        <v>7453</v>
      </c>
      <c r="E132" s="7">
        <v>6648</v>
      </c>
      <c r="F132" s="7">
        <v>2800</v>
      </c>
      <c r="G132" s="7">
        <v>1</v>
      </c>
      <c r="H132" s="8">
        <v>0.1</v>
      </c>
      <c r="I132" s="9">
        <v>1</v>
      </c>
      <c r="J132" s="1" t="s">
        <v>22</v>
      </c>
      <c r="K132" s="7">
        <v>1107</v>
      </c>
      <c r="L132" s="7">
        <v>0</v>
      </c>
      <c r="M132" s="1"/>
      <c r="N132" s="1" t="s">
        <v>19</v>
      </c>
      <c r="O132" s="10" t="s">
        <v>0</v>
      </c>
    </row>
    <row r="133" spans="1:15" ht="23" customHeight="1">
      <c r="A133" s="6">
        <v>46090</v>
      </c>
      <c r="B133" s="1" t="s">
        <v>17</v>
      </c>
      <c r="C133" s="1" t="s">
        <v>18</v>
      </c>
      <c r="D133" s="7">
        <v>5805</v>
      </c>
      <c r="E133" s="7">
        <v>6073</v>
      </c>
      <c r="F133" s="7">
        <v>2800</v>
      </c>
      <c r="G133" s="7">
        <v>0</v>
      </c>
      <c r="H133" s="8">
        <v>0</v>
      </c>
      <c r="I133" s="9">
        <v>1</v>
      </c>
      <c r="J133" s="1" t="s">
        <v>23</v>
      </c>
      <c r="K133" s="7">
        <v>1100</v>
      </c>
      <c r="L133" s="7">
        <v>0</v>
      </c>
      <c r="M133" s="1"/>
      <c r="N133" s="1" t="s">
        <v>19</v>
      </c>
      <c r="O133" s="10" t="s">
        <v>0</v>
      </c>
    </row>
    <row r="134" spans="1:15" ht="23" customHeight="1">
      <c r="A134" s="6">
        <v>46097</v>
      </c>
      <c r="B134" s="1" t="s">
        <v>17</v>
      </c>
      <c r="C134" s="1" t="s">
        <v>18</v>
      </c>
      <c r="D134" s="7">
        <v>6801</v>
      </c>
      <c r="E134" s="7">
        <v>6036</v>
      </c>
      <c r="F134" s="7">
        <v>2800</v>
      </c>
      <c r="G134" s="7">
        <v>0</v>
      </c>
      <c r="H134" s="8">
        <v>0</v>
      </c>
      <c r="I134" s="9">
        <v>1</v>
      </c>
      <c r="J134" s="1" t="s">
        <v>24</v>
      </c>
      <c r="K134" s="7">
        <v>1097</v>
      </c>
      <c r="L134" s="7">
        <v>0</v>
      </c>
      <c r="M134" s="1"/>
      <c r="N134" s="1" t="s">
        <v>19</v>
      </c>
      <c r="O134" s="10" t="s">
        <v>0</v>
      </c>
    </row>
    <row r="135" spans="1:15" ht="23" customHeight="1">
      <c r="A135" s="6">
        <v>46104</v>
      </c>
      <c r="B135" s="1" t="s">
        <v>17</v>
      </c>
      <c r="C135" s="1" t="s">
        <v>18</v>
      </c>
      <c r="D135" s="7">
        <v>5213</v>
      </c>
      <c r="E135" s="7">
        <v>6020</v>
      </c>
      <c r="F135" s="7">
        <v>2800</v>
      </c>
      <c r="G135" s="7">
        <v>0</v>
      </c>
      <c r="H135" s="8">
        <v>0</v>
      </c>
      <c r="I135" s="9">
        <v>1</v>
      </c>
      <c r="J135" s="1" t="s">
        <v>24</v>
      </c>
      <c r="K135" s="7">
        <v>1076</v>
      </c>
      <c r="L135" s="7">
        <v>0</v>
      </c>
      <c r="M135" s="1"/>
      <c r="N135" s="1" t="s">
        <v>19</v>
      </c>
      <c r="O135" s="10" t="s">
        <v>0</v>
      </c>
    </row>
    <row r="136" spans="1:15" ht="23" customHeight="1">
      <c r="A136" s="6">
        <v>46111</v>
      </c>
      <c r="B136" s="1" t="s">
        <v>17</v>
      </c>
      <c r="C136" s="1" t="s">
        <v>18</v>
      </c>
      <c r="D136" s="7">
        <v>3974</v>
      </c>
      <c r="E136" s="7">
        <v>5367</v>
      </c>
      <c r="F136" s="7">
        <v>2800</v>
      </c>
      <c r="G136" s="7">
        <v>0</v>
      </c>
      <c r="H136" s="8">
        <v>0</v>
      </c>
      <c r="I136" s="9">
        <v>0</v>
      </c>
      <c r="J136" s="1"/>
      <c r="K136" s="7">
        <v>1093</v>
      </c>
      <c r="L136" s="7">
        <v>1</v>
      </c>
      <c r="M136" s="1" t="s">
        <v>28</v>
      </c>
      <c r="N136" s="1" t="s">
        <v>19</v>
      </c>
      <c r="O136" s="10" t="s">
        <v>0</v>
      </c>
    </row>
    <row r="137" spans="1:15" ht="23" customHeight="1">
      <c r="A137" s="6">
        <v>46118</v>
      </c>
      <c r="B137" s="1" t="s">
        <v>17</v>
      </c>
      <c r="C137" s="1" t="s">
        <v>18</v>
      </c>
      <c r="D137" s="7">
        <v>4003</v>
      </c>
      <c r="E137" s="7">
        <v>5449</v>
      </c>
      <c r="F137" s="7">
        <v>2800</v>
      </c>
      <c r="G137" s="7">
        <v>0</v>
      </c>
      <c r="H137" s="8">
        <v>0</v>
      </c>
      <c r="I137" s="9">
        <v>0</v>
      </c>
      <c r="J137" s="1"/>
      <c r="K137" s="7">
        <v>1092</v>
      </c>
      <c r="L137" s="7">
        <v>1</v>
      </c>
      <c r="M137" s="1" t="s">
        <v>28</v>
      </c>
      <c r="N137" s="1" t="s">
        <v>19</v>
      </c>
      <c r="O137" s="10" t="s">
        <v>0</v>
      </c>
    </row>
    <row r="138" spans="1:15" ht="23" customHeight="1">
      <c r="A138" s="6">
        <v>46125</v>
      </c>
      <c r="B138" s="1" t="s">
        <v>17</v>
      </c>
      <c r="C138" s="1" t="s">
        <v>18</v>
      </c>
      <c r="D138" s="7">
        <v>5860</v>
      </c>
      <c r="E138" s="7">
        <v>5877</v>
      </c>
      <c r="F138" s="7">
        <v>2800</v>
      </c>
      <c r="G138" s="7">
        <v>1</v>
      </c>
      <c r="H138" s="8">
        <v>0.08</v>
      </c>
      <c r="I138" s="9">
        <v>0</v>
      </c>
      <c r="J138" s="1"/>
      <c r="K138" s="7">
        <v>1086</v>
      </c>
      <c r="L138" s="7">
        <v>0</v>
      </c>
      <c r="M138" s="1"/>
      <c r="N138" s="1" t="s">
        <v>19</v>
      </c>
      <c r="O138" s="10" t="s">
        <v>0</v>
      </c>
    </row>
    <row r="139" spans="1:15" ht="23" customHeight="1">
      <c r="A139" s="6">
        <v>46132</v>
      </c>
      <c r="B139" s="1" t="s">
        <v>17</v>
      </c>
      <c r="C139" s="1" t="s">
        <v>18</v>
      </c>
      <c r="D139" s="7">
        <v>5228</v>
      </c>
      <c r="E139" s="7">
        <v>5408</v>
      </c>
      <c r="F139" s="7">
        <v>2800</v>
      </c>
      <c r="G139" s="7">
        <v>0</v>
      </c>
      <c r="H139" s="8">
        <v>0</v>
      </c>
      <c r="I139" s="9">
        <v>0</v>
      </c>
      <c r="J139" s="1"/>
      <c r="K139" s="7">
        <v>1095</v>
      </c>
      <c r="L139" s="7">
        <v>0</v>
      </c>
      <c r="M139" s="1"/>
      <c r="N139" s="1" t="s">
        <v>19</v>
      </c>
      <c r="O139" s="10" t="s">
        <v>0</v>
      </c>
    </row>
    <row r="140" spans="1:15" ht="23" customHeight="1">
      <c r="A140" s="6">
        <v>46139</v>
      </c>
      <c r="B140" s="1" t="s">
        <v>17</v>
      </c>
      <c r="C140" s="1" t="s">
        <v>18</v>
      </c>
      <c r="D140" s="7">
        <v>5145</v>
      </c>
      <c r="E140" s="7">
        <v>5448</v>
      </c>
      <c r="F140" s="7">
        <v>2800</v>
      </c>
      <c r="G140" s="7">
        <v>0</v>
      </c>
      <c r="H140" s="8">
        <v>0</v>
      </c>
      <c r="I140" s="9">
        <v>0</v>
      </c>
      <c r="J140" s="1"/>
      <c r="K140" s="7">
        <v>1097</v>
      </c>
      <c r="L140" s="7">
        <v>0</v>
      </c>
      <c r="M140" s="1"/>
      <c r="N140" s="1" t="s">
        <v>19</v>
      </c>
      <c r="O140" s="10" t="s">
        <v>0</v>
      </c>
    </row>
    <row r="141" spans="1:15" ht="23" customHeight="1">
      <c r="A141" s="6">
        <v>46146</v>
      </c>
      <c r="B141" s="1" t="s">
        <v>17</v>
      </c>
      <c r="C141" s="1" t="s">
        <v>18</v>
      </c>
      <c r="D141" s="7">
        <v>7313</v>
      </c>
      <c r="E141" s="7">
        <v>5889</v>
      </c>
      <c r="F141" s="7">
        <v>2800</v>
      </c>
      <c r="G141" s="7">
        <v>1</v>
      </c>
      <c r="H141" s="8">
        <v>0.08</v>
      </c>
      <c r="I141" s="9">
        <v>0</v>
      </c>
      <c r="J141" s="1"/>
      <c r="K141" s="7">
        <v>1102</v>
      </c>
      <c r="L141" s="7">
        <v>0</v>
      </c>
      <c r="M141" s="1"/>
      <c r="N141" s="1" t="s">
        <v>19</v>
      </c>
      <c r="O141" s="10" t="s">
        <v>0</v>
      </c>
    </row>
    <row r="142" spans="1:15" ht="23" customHeight="1">
      <c r="A142" s="6">
        <v>46153</v>
      </c>
      <c r="B142" s="1" t="s">
        <v>17</v>
      </c>
      <c r="C142" s="1" t="s">
        <v>18</v>
      </c>
      <c r="D142" s="7">
        <v>5880</v>
      </c>
      <c r="E142" s="7">
        <v>5472</v>
      </c>
      <c r="F142" s="7">
        <v>2800</v>
      </c>
      <c r="G142" s="7">
        <v>0</v>
      </c>
      <c r="H142" s="8">
        <v>0</v>
      </c>
      <c r="I142" s="9">
        <v>0</v>
      </c>
      <c r="J142" s="1"/>
      <c r="K142" s="7">
        <v>1095</v>
      </c>
      <c r="L142" s="7">
        <v>0</v>
      </c>
      <c r="M142" s="1"/>
      <c r="N142" s="1" t="s">
        <v>19</v>
      </c>
      <c r="O142" s="10" t="s">
        <v>0</v>
      </c>
    </row>
    <row r="143" spans="1:15" ht="23" customHeight="1">
      <c r="A143" s="6">
        <v>46160</v>
      </c>
      <c r="B143" s="1" t="s">
        <v>17</v>
      </c>
      <c r="C143" s="1" t="s">
        <v>18</v>
      </c>
      <c r="D143" s="7">
        <v>6012</v>
      </c>
      <c r="E143" s="7">
        <v>5974</v>
      </c>
      <c r="F143" s="7">
        <v>2800</v>
      </c>
      <c r="G143" s="7">
        <v>0</v>
      </c>
      <c r="H143" s="8">
        <v>0</v>
      </c>
      <c r="I143" s="9">
        <v>1</v>
      </c>
      <c r="J143" s="1" t="s">
        <v>25</v>
      </c>
      <c r="K143" s="7">
        <v>1110</v>
      </c>
      <c r="L143" s="7">
        <v>0</v>
      </c>
      <c r="M143" s="1"/>
      <c r="N143" s="1" t="s">
        <v>19</v>
      </c>
      <c r="O143" s="10" t="s">
        <v>0</v>
      </c>
    </row>
    <row r="144" spans="1:15" ht="23" customHeight="1">
      <c r="A144" s="6">
        <v>46167</v>
      </c>
      <c r="B144" s="1" t="s">
        <v>17</v>
      </c>
      <c r="C144" s="1" t="s">
        <v>18</v>
      </c>
      <c r="D144" s="7">
        <v>6199</v>
      </c>
      <c r="E144" s="7">
        <v>6048</v>
      </c>
      <c r="F144" s="7">
        <v>2800</v>
      </c>
      <c r="G144" s="7">
        <v>0</v>
      </c>
      <c r="H144" s="8">
        <v>0</v>
      </c>
      <c r="I144" s="9">
        <v>1</v>
      </c>
      <c r="J144" s="1" t="s">
        <v>25</v>
      </c>
      <c r="K144" s="7">
        <v>1120</v>
      </c>
      <c r="L144" s="7">
        <v>0</v>
      </c>
      <c r="M144" s="1"/>
      <c r="N144" s="1" t="s">
        <v>19</v>
      </c>
      <c r="O144" s="10" t="s">
        <v>0</v>
      </c>
    </row>
    <row r="145" spans="1:15" ht="23" customHeight="1">
      <c r="A145" s="6">
        <v>46174</v>
      </c>
      <c r="B145" s="1" t="s">
        <v>17</v>
      </c>
      <c r="C145" s="1" t="s">
        <v>18</v>
      </c>
      <c r="D145" s="7">
        <v>6877</v>
      </c>
      <c r="E145" s="7">
        <v>5983</v>
      </c>
      <c r="F145" s="7">
        <v>2800</v>
      </c>
      <c r="G145" s="7">
        <v>1</v>
      </c>
      <c r="H145" s="8">
        <v>0.1</v>
      </c>
      <c r="I145" s="9">
        <v>0</v>
      </c>
      <c r="J145" s="1"/>
      <c r="K145" s="7">
        <v>1127</v>
      </c>
      <c r="L145" s="7">
        <v>0</v>
      </c>
      <c r="M145" s="1"/>
      <c r="N145" s="1" t="s">
        <v>19</v>
      </c>
      <c r="O145" s="10" t="s">
        <v>0</v>
      </c>
    </row>
    <row r="146" spans="1:15" ht="23" customHeight="1">
      <c r="A146" s="6">
        <v>46181</v>
      </c>
      <c r="B146" s="1" t="s">
        <v>17</v>
      </c>
      <c r="C146" s="1" t="s">
        <v>18</v>
      </c>
      <c r="D146" s="7">
        <v>5447</v>
      </c>
      <c r="E146" s="7">
        <v>5567</v>
      </c>
      <c r="F146" s="7">
        <v>2865</v>
      </c>
      <c r="G146" s="7">
        <v>0</v>
      </c>
      <c r="H146" s="8">
        <v>0</v>
      </c>
      <c r="I146" s="9">
        <v>0</v>
      </c>
      <c r="J146" s="1"/>
      <c r="K146" s="7">
        <v>1131</v>
      </c>
      <c r="L146" s="7">
        <v>0</v>
      </c>
      <c r="M146" s="1"/>
      <c r="N146" s="1" t="s">
        <v>19</v>
      </c>
      <c r="O146" s="10" t="s">
        <v>0</v>
      </c>
    </row>
    <row r="147" spans="1:15" ht="23" customHeight="1">
      <c r="A147" s="6">
        <v>46188</v>
      </c>
      <c r="B147" s="1" t="s">
        <v>17</v>
      </c>
      <c r="C147" s="1" t="s">
        <v>18</v>
      </c>
      <c r="D147" s="7">
        <v>4877</v>
      </c>
      <c r="E147" s="7">
        <v>5540</v>
      </c>
      <c r="F147" s="7">
        <v>2865</v>
      </c>
      <c r="G147" s="7">
        <v>0</v>
      </c>
      <c r="H147" s="8">
        <v>0</v>
      </c>
      <c r="I147" s="9">
        <v>0</v>
      </c>
      <c r="J147" s="1"/>
      <c r="K147" s="7">
        <v>1148</v>
      </c>
      <c r="L147" s="7">
        <v>0</v>
      </c>
      <c r="M147" s="1"/>
      <c r="N147" s="1" t="s">
        <v>19</v>
      </c>
      <c r="O147" s="10" t="s">
        <v>0</v>
      </c>
    </row>
    <row r="148" spans="1:15" ht="23" customHeight="1">
      <c r="A148" s="6">
        <v>46195</v>
      </c>
      <c r="B148" s="1" t="s">
        <v>17</v>
      </c>
      <c r="C148" s="1" t="s">
        <v>18</v>
      </c>
      <c r="D148" s="7">
        <v>5575</v>
      </c>
      <c r="E148" s="7">
        <v>5615</v>
      </c>
      <c r="F148" s="7">
        <v>2865</v>
      </c>
      <c r="G148" s="7">
        <v>0</v>
      </c>
      <c r="H148" s="8">
        <v>0</v>
      </c>
      <c r="I148" s="9">
        <v>0</v>
      </c>
      <c r="J148" s="1"/>
      <c r="K148" s="7">
        <v>1146</v>
      </c>
      <c r="L148" s="7">
        <v>0</v>
      </c>
      <c r="M148" s="1"/>
      <c r="N148" s="1" t="s">
        <v>19</v>
      </c>
      <c r="O148" s="10" t="s">
        <v>0</v>
      </c>
    </row>
    <row r="149" spans="1:15" ht="23" customHeight="1">
      <c r="A149" s="6">
        <v>46202</v>
      </c>
      <c r="B149" s="1" t="s">
        <v>17</v>
      </c>
      <c r="C149" s="1" t="s">
        <v>18</v>
      </c>
      <c r="D149" s="7">
        <v>5856</v>
      </c>
      <c r="E149" s="7">
        <v>5598</v>
      </c>
      <c r="F149" s="7">
        <v>2865</v>
      </c>
      <c r="G149" s="7">
        <v>0</v>
      </c>
      <c r="H149" s="8">
        <v>0</v>
      </c>
      <c r="I149" s="9">
        <v>0</v>
      </c>
      <c r="J149" s="1"/>
      <c r="K149" s="7">
        <v>1159</v>
      </c>
      <c r="L149" s="7">
        <v>0</v>
      </c>
      <c r="M149" s="1"/>
      <c r="N149" s="1" t="s">
        <v>19</v>
      </c>
      <c r="O149" s="10" t="s">
        <v>0</v>
      </c>
    </row>
    <row r="150" spans="1:15" ht="23" customHeight="1">
      <c r="A150" s="6">
        <v>46209</v>
      </c>
      <c r="B150" s="1" t="s">
        <v>17</v>
      </c>
      <c r="C150" s="1" t="s">
        <v>18</v>
      </c>
      <c r="D150" s="7">
        <v>5229</v>
      </c>
      <c r="E150" s="7">
        <v>5653</v>
      </c>
      <c r="F150" s="7">
        <v>2865</v>
      </c>
      <c r="G150" s="7">
        <v>0</v>
      </c>
      <c r="H150" s="8">
        <v>0</v>
      </c>
      <c r="I150" s="9">
        <v>0</v>
      </c>
      <c r="J150" s="1"/>
      <c r="K150" s="7">
        <v>1153</v>
      </c>
      <c r="L150" s="7">
        <v>0</v>
      </c>
      <c r="M150" s="1"/>
      <c r="N150" s="1" t="s">
        <v>29</v>
      </c>
      <c r="O150" s="10" t="s">
        <v>0</v>
      </c>
    </row>
    <row r="151" spans="1:15" ht="23" customHeight="1">
      <c r="A151" s="6">
        <v>46216</v>
      </c>
      <c r="B151" s="1" t="s">
        <v>17</v>
      </c>
      <c r="C151" s="1" t="s">
        <v>18</v>
      </c>
      <c r="D151" s="7">
        <v>6997</v>
      </c>
      <c r="E151" s="7">
        <v>6066</v>
      </c>
      <c r="F151" s="7">
        <v>2865</v>
      </c>
      <c r="G151" s="7">
        <v>1</v>
      </c>
      <c r="H151" s="8">
        <v>0.05</v>
      </c>
      <c r="I151" s="9">
        <v>0</v>
      </c>
      <c r="J151" s="1"/>
      <c r="K151" s="7">
        <v>1168</v>
      </c>
      <c r="L151" s="7">
        <v>0</v>
      </c>
      <c r="M151" s="1"/>
      <c r="N151" s="1" t="s">
        <v>29</v>
      </c>
      <c r="O151" s="10" t="s">
        <v>0</v>
      </c>
    </row>
    <row r="152" spans="1:15" ht="23" customHeight="1">
      <c r="A152" s="6">
        <v>46223</v>
      </c>
      <c r="B152" s="1" t="s">
        <v>17</v>
      </c>
      <c r="C152" s="1" t="s">
        <v>18</v>
      </c>
      <c r="D152" s="7">
        <v>5349</v>
      </c>
      <c r="E152" s="7">
        <v>5682</v>
      </c>
      <c r="F152" s="7">
        <v>2865</v>
      </c>
      <c r="G152" s="7">
        <v>0</v>
      </c>
      <c r="H152" s="8">
        <v>0</v>
      </c>
      <c r="I152" s="9">
        <v>0</v>
      </c>
      <c r="J152" s="1"/>
      <c r="K152" s="7">
        <v>1163</v>
      </c>
      <c r="L152" s="7">
        <v>0</v>
      </c>
      <c r="M152" s="1"/>
      <c r="N152" s="1" t="s">
        <v>29</v>
      </c>
      <c r="O152" s="10" t="s">
        <v>0</v>
      </c>
    </row>
    <row r="153" spans="1:15" ht="23" customHeight="1">
      <c r="A153" s="6">
        <v>46230</v>
      </c>
      <c r="B153" s="1" t="s">
        <v>17</v>
      </c>
      <c r="C153" s="1" t="s">
        <v>18</v>
      </c>
      <c r="D153" s="7">
        <v>5430</v>
      </c>
      <c r="E153" s="7">
        <v>5651</v>
      </c>
      <c r="F153" s="7">
        <v>2865</v>
      </c>
      <c r="G153" s="7">
        <v>0</v>
      </c>
      <c r="H153" s="8">
        <v>0</v>
      </c>
      <c r="I153" s="9">
        <v>0</v>
      </c>
      <c r="J153" s="1"/>
      <c r="K153" s="7">
        <v>1164</v>
      </c>
      <c r="L153" s="7">
        <v>0</v>
      </c>
      <c r="M153" s="1"/>
      <c r="N153" s="1" t="s">
        <v>29</v>
      </c>
      <c r="O153" s="10" t="s">
        <v>0</v>
      </c>
    </row>
    <row r="154" spans="1:15" ht="23" customHeight="1">
      <c r="A154" s="6">
        <v>46237</v>
      </c>
      <c r="B154" s="1" t="s">
        <v>17</v>
      </c>
      <c r="C154" s="1" t="s">
        <v>18</v>
      </c>
      <c r="D154" s="7">
        <v>6448</v>
      </c>
      <c r="E154" s="7">
        <v>6102</v>
      </c>
      <c r="F154" s="7">
        <v>2865</v>
      </c>
      <c r="G154" s="7">
        <v>1</v>
      </c>
      <c r="H154" s="8">
        <v>0.08</v>
      </c>
      <c r="I154" s="9">
        <v>0</v>
      </c>
      <c r="J154" s="1"/>
      <c r="K154" s="7">
        <v>1137</v>
      </c>
      <c r="L154" s="7">
        <v>0</v>
      </c>
      <c r="M154" s="1"/>
      <c r="N154" s="1" t="s">
        <v>29</v>
      </c>
      <c r="O154" s="10" t="s">
        <v>0</v>
      </c>
    </row>
    <row r="155" spans="1:15" ht="23" customHeight="1">
      <c r="A155" s="6">
        <v>46244</v>
      </c>
      <c r="B155" s="1" t="s">
        <v>17</v>
      </c>
      <c r="C155" s="1" t="s">
        <v>18</v>
      </c>
      <c r="D155" s="7">
        <v>4787</v>
      </c>
      <c r="E155" s="7">
        <v>5513</v>
      </c>
      <c r="F155" s="7">
        <v>2865</v>
      </c>
      <c r="G155" s="7">
        <v>0</v>
      </c>
      <c r="H155" s="8">
        <v>0</v>
      </c>
      <c r="I155" s="9">
        <v>0</v>
      </c>
      <c r="J155" s="1"/>
      <c r="K155" s="7">
        <v>1136</v>
      </c>
      <c r="L155" s="7">
        <v>0</v>
      </c>
      <c r="M155" s="1"/>
      <c r="N155" s="1" t="s">
        <v>29</v>
      </c>
      <c r="O155" s="10" t="s">
        <v>0</v>
      </c>
    </row>
    <row r="156" spans="1:15" ht="23" customHeight="1">
      <c r="A156" s="6">
        <v>46251</v>
      </c>
      <c r="B156" s="1" t="s">
        <v>17</v>
      </c>
      <c r="C156" s="1" t="s">
        <v>18</v>
      </c>
      <c r="D156" s="7">
        <v>5294</v>
      </c>
      <c r="E156" s="7">
        <v>5504</v>
      </c>
      <c r="F156" s="7">
        <v>2865</v>
      </c>
      <c r="G156" s="7">
        <v>0</v>
      </c>
      <c r="H156" s="8">
        <v>0</v>
      </c>
      <c r="I156" s="9">
        <v>0</v>
      </c>
      <c r="J156" s="1"/>
      <c r="K156" s="7">
        <v>1136</v>
      </c>
      <c r="L156" s="7">
        <v>0</v>
      </c>
      <c r="M156" s="1"/>
      <c r="N156" s="1" t="s">
        <v>29</v>
      </c>
      <c r="O156" s="10" t="s">
        <v>0</v>
      </c>
    </row>
    <row r="157" spans="1:15" ht="23" customHeight="1">
      <c r="A157" s="6">
        <v>46258</v>
      </c>
      <c r="B157" s="1" t="s">
        <v>17</v>
      </c>
      <c r="C157" s="1" t="s">
        <v>18</v>
      </c>
      <c r="D157" s="7">
        <v>4083</v>
      </c>
      <c r="E157" s="7">
        <v>5500</v>
      </c>
      <c r="F157" s="7">
        <v>2865</v>
      </c>
      <c r="G157" s="7">
        <v>0</v>
      </c>
      <c r="H157" s="8">
        <v>0</v>
      </c>
      <c r="I157" s="9">
        <v>0</v>
      </c>
      <c r="J157" s="1"/>
      <c r="K157" s="7">
        <v>1134</v>
      </c>
      <c r="L157" s="7">
        <v>1</v>
      </c>
      <c r="M157" s="1" t="s">
        <v>30</v>
      </c>
      <c r="N157" s="1" t="s">
        <v>29</v>
      </c>
      <c r="O157" s="10" t="s">
        <v>0</v>
      </c>
    </row>
    <row r="158" spans="1:15" ht="23" customHeight="1">
      <c r="A158" s="6">
        <v>46265</v>
      </c>
      <c r="B158" s="1" t="s">
        <v>17</v>
      </c>
      <c r="C158" s="1" t="s">
        <v>18</v>
      </c>
      <c r="D158" s="7">
        <v>5597</v>
      </c>
      <c r="E158" s="7">
        <v>5927</v>
      </c>
      <c r="F158" s="7">
        <v>2865</v>
      </c>
      <c r="G158" s="7">
        <v>1</v>
      </c>
      <c r="H158" s="8">
        <v>0.08</v>
      </c>
      <c r="I158" s="9">
        <v>0</v>
      </c>
      <c r="J158" s="1"/>
      <c r="K158" s="7">
        <v>1128</v>
      </c>
      <c r="L158" s="7">
        <v>1</v>
      </c>
      <c r="M158" s="1" t="s">
        <v>30</v>
      </c>
      <c r="N158" s="1" t="s">
        <v>29</v>
      </c>
      <c r="O158" s="10" t="s">
        <v>0</v>
      </c>
    </row>
    <row r="159" spans="1:15" ht="23" customHeight="1">
      <c r="A159" s="6">
        <v>46272</v>
      </c>
      <c r="B159" s="1" t="s">
        <v>17</v>
      </c>
      <c r="C159" s="1" t="s">
        <v>18</v>
      </c>
      <c r="D159" s="7">
        <v>4766</v>
      </c>
      <c r="E159" s="7">
        <v>5457</v>
      </c>
      <c r="F159" s="7">
        <v>2865</v>
      </c>
      <c r="G159" s="7">
        <v>0</v>
      </c>
      <c r="H159" s="8">
        <v>0</v>
      </c>
      <c r="I159" s="9">
        <v>0</v>
      </c>
      <c r="J159" s="1"/>
      <c r="K159" s="7">
        <v>1094</v>
      </c>
      <c r="L159" s="7">
        <v>0</v>
      </c>
      <c r="M159" s="1"/>
      <c r="N159" s="1" t="s">
        <v>29</v>
      </c>
      <c r="O159" s="10" t="s">
        <v>0</v>
      </c>
    </row>
    <row r="160" spans="1:15" ht="23" customHeight="1">
      <c r="A160" s="6">
        <v>46279</v>
      </c>
      <c r="B160" s="1" t="s">
        <v>17</v>
      </c>
      <c r="C160" s="1" t="s">
        <v>18</v>
      </c>
      <c r="D160" s="7">
        <v>5375</v>
      </c>
      <c r="E160" s="7">
        <v>5292</v>
      </c>
      <c r="F160" s="7">
        <v>2865</v>
      </c>
      <c r="G160" s="7">
        <v>0</v>
      </c>
      <c r="H160" s="8">
        <v>0</v>
      </c>
      <c r="I160" s="9">
        <v>0</v>
      </c>
      <c r="J160" s="1"/>
      <c r="K160" s="7">
        <v>1107</v>
      </c>
      <c r="L160" s="7">
        <v>0</v>
      </c>
      <c r="M160" s="1"/>
      <c r="N160" s="1" t="s">
        <v>29</v>
      </c>
      <c r="O160" s="10" t="s">
        <v>0</v>
      </c>
    </row>
    <row r="161" spans="1:15" ht="23" customHeight="1">
      <c r="A161" s="6">
        <v>46286</v>
      </c>
      <c r="B161" s="1" t="s">
        <v>17</v>
      </c>
      <c r="C161" s="1" t="s">
        <v>18</v>
      </c>
      <c r="D161" s="7">
        <v>5421</v>
      </c>
      <c r="E161" s="7">
        <v>5355</v>
      </c>
      <c r="F161" s="7">
        <v>2865</v>
      </c>
      <c r="G161" s="7">
        <v>0</v>
      </c>
      <c r="H161" s="8">
        <v>0</v>
      </c>
      <c r="I161" s="9">
        <v>0</v>
      </c>
      <c r="J161" s="1"/>
      <c r="K161" s="7">
        <v>1106</v>
      </c>
      <c r="L161" s="7">
        <v>0</v>
      </c>
      <c r="M161" s="1"/>
      <c r="N161" s="1" t="s">
        <v>29</v>
      </c>
      <c r="O161" s="10" t="s">
        <v>0</v>
      </c>
    </row>
    <row r="163" spans="1:15">
      <c r="D163" s="14"/>
    </row>
    <row r="167" spans="1:15">
      <c r="D167" s="14"/>
    </row>
    <row r="168" spans="1:15">
      <c r="D168" s="15"/>
    </row>
  </sheetData>
  <mergeCells count="1">
    <mergeCell ref="A1:I2"/>
  </mergeCells>
  <conditionalFormatting sqref="N6:N161">
    <cfRule type="containsText" dxfId="4" priority="1" operator="containsText" text="Holdout"/>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3"/>
  <sheetViews>
    <sheetView showGridLines="0" workbookViewId="0"/>
  </sheetViews>
  <sheetFormatPr defaultRowHeight="14"/>
  <cols>
    <col min="1" max="1" width="145" customWidth="1"/>
  </cols>
  <sheetData>
    <row r="1" spans="1:1" ht="40" customHeight="1">
      <c r="A1" s="3" t="s">
        <v>0</v>
      </c>
    </row>
    <row r="2" spans="1:1" ht="20" customHeight="1">
      <c r="A2" s="3"/>
    </row>
    <row r="3" spans="1:1">
      <c r="A3" s="1"/>
    </row>
    <row r="4" spans="1:1" ht="18">
      <c r="A4" s="4" t="s">
        <v>236</v>
      </c>
    </row>
    <row r="5" spans="1:1">
      <c r="A5" s="1"/>
    </row>
    <row r="6" spans="1:1" ht="22" customHeight="1">
      <c r="A6" s="2" t="s">
        <v>237</v>
      </c>
    </row>
    <row r="7" spans="1:1" ht="22" customHeight="1">
      <c r="A7" s="2" t="s">
        <v>238</v>
      </c>
    </row>
    <row r="8" spans="1:1" ht="22" customHeight="1">
      <c r="A8" s="2" t="s">
        <v>239</v>
      </c>
    </row>
    <row r="9" spans="1:1" ht="22" customHeight="1">
      <c r="A9" s="2" t="s">
        <v>240</v>
      </c>
    </row>
    <row r="10" spans="1:1" ht="18" customHeight="1">
      <c r="A10" s="2"/>
    </row>
    <row r="11" spans="1:1" ht="22" customHeight="1">
      <c r="A11" s="2" t="s">
        <v>241</v>
      </c>
    </row>
    <row r="12" spans="1:1" ht="18" customHeight="1">
      <c r="A12" s="2"/>
    </row>
    <row r="13" spans="1:1" ht="22" customHeight="1">
      <c r="A13" s="2" t="s">
        <v>242</v>
      </c>
    </row>
    <row r="14" spans="1:1" ht="38" customHeight="1">
      <c r="A14" s="2" t="s">
        <v>243</v>
      </c>
    </row>
    <row r="15" spans="1:1" ht="22" customHeight="1">
      <c r="A15" s="2" t="s">
        <v>244</v>
      </c>
    </row>
    <row r="16" spans="1:1" ht="22" customHeight="1">
      <c r="A16" s="2" t="s">
        <v>245</v>
      </c>
    </row>
    <row r="17" spans="1:1" ht="18" customHeight="1">
      <c r="A17" s="2"/>
    </row>
    <row r="18" spans="1:1" ht="22" customHeight="1">
      <c r="A18" s="2" t="s">
        <v>246</v>
      </c>
    </row>
    <row r="19" spans="1:1" ht="22" customHeight="1">
      <c r="A19" s="2" t="s">
        <v>247</v>
      </c>
    </row>
    <row r="20" spans="1:1" ht="22" customHeight="1">
      <c r="A20" s="2" t="s">
        <v>248</v>
      </c>
    </row>
    <row r="21" spans="1:1" ht="22" customHeight="1">
      <c r="A21" s="2" t="s">
        <v>249</v>
      </c>
    </row>
    <row r="22" spans="1:1" ht="22" customHeight="1">
      <c r="A22" s="2" t="s">
        <v>250</v>
      </c>
    </row>
    <row r="23" spans="1:1" ht="22" customHeight="1">
      <c r="A23" s="2" t="s">
        <v>251</v>
      </c>
    </row>
    <row r="24" spans="1:1" ht="22" customHeight="1">
      <c r="A24" s="2" t="s">
        <v>252</v>
      </c>
    </row>
    <row r="25" spans="1:1" ht="22" customHeight="1">
      <c r="A25" s="2" t="s">
        <v>253</v>
      </c>
    </row>
    <row r="26" spans="1:1" ht="22" customHeight="1">
      <c r="A26" s="2" t="s">
        <v>254</v>
      </c>
    </row>
    <row r="27" spans="1:1" ht="22" customHeight="1">
      <c r="A27" s="2" t="s">
        <v>255</v>
      </c>
    </row>
    <row r="28" spans="1:1" ht="22" customHeight="1">
      <c r="A28" s="2" t="s">
        <v>256</v>
      </c>
    </row>
    <row r="29" spans="1:1" ht="22" customHeight="1">
      <c r="A29" s="2" t="s">
        <v>257</v>
      </c>
    </row>
    <row r="30" spans="1:1" ht="22" customHeight="1">
      <c r="A30" s="2" t="s">
        <v>258</v>
      </c>
    </row>
    <row r="31" spans="1:1" ht="22" customHeight="1">
      <c r="A31" s="2" t="s">
        <v>259</v>
      </c>
    </row>
    <row r="32" spans="1:1" ht="22" customHeight="1">
      <c r="A32" s="2" t="s">
        <v>260</v>
      </c>
    </row>
    <row r="33" spans="1:1" ht="22" customHeight="1">
      <c r="A33" s="2" t="s">
        <v>261</v>
      </c>
    </row>
    <row r="34" spans="1:1" ht="18" customHeight="1">
      <c r="A34" s="2"/>
    </row>
    <row r="35" spans="1:1" ht="22" customHeight="1">
      <c r="A35" s="2" t="s">
        <v>262</v>
      </c>
    </row>
    <row r="36" spans="1:1" ht="22" customHeight="1">
      <c r="A36" s="2" t="s">
        <v>263</v>
      </c>
    </row>
    <row r="37" spans="1:1" ht="22" customHeight="1">
      <c r="A37" s="2" t="s">
        <v>264</v>
      </c>
    </row>
    <row r="38" spans="1:1" ht="22" customHeight="1">
      <c r="A38" s="2" t="s">
        <v>265</v>
      </c>
    </row>
    <row r="39" spans="1:1" ht="22" customHeight="1">
      <c r="A39" s="2" t="s">
        <v>266</v>
      </c>
    </row>
    <row r="40" spans="1:1" ht="22" customHeight="1">
      <c r="A40" s="2" t="s">
        <v>267</v>
      </c>
    </row>
    <row r="41" spans="1:1" ht="22" customHeight="1">
      <c r="A41" s="2" t="s">
        <v>268</v>
      </c>
    </row>
    <row r="42" spans="1:1" ht="22" customHeight="1">
      <c r="A42" s="2" t="s">
        <v>269</v>
      </c>
    </row>
    <row r="43" spans="1:1" ht="22" customHeight="1">
      <c r="A43" s="2" t="s">
        <v>270</v>
      </c>
    </row>
    <row r="44" spans="1:1" ht="22" customHeight="1">
      <c r="A44" s="2" t="s">
        <v>271</v>
      </c>
    </row>
    <row r="45" spans="1:1" ht="22" customHeight="1">
      <c r="A45" s="2" t="s">
        <v>272</v>
      </c>
    </row>
    <row r="46" spans="1:1" ht="22" customHeight="1">
      <c r="A46" s="2" t="s">
        <v>273</v>
      </c>
    </row>
    <row r="47" spans="1:1" ht="22" customHeight="1">
      <c r="A47" s="2" t="s">
        <v>274</v>
      </c>
    </row>
    <row r="48" spans="1:1" ht="18" customHeight="1">
      <c r="A48" s="2"/>
    </row>
    <row r="49" spans="1:1" ht="22" customHeight="1">
      <c r="A49" s="2" t="s">
        <v>275</v>
      </c>
    </row>
    <row r="50" spans="1:1" ht="22" customHeight="1">
      <c r="A50" s="2" t="s">
        <v>276</v>
      </c>
    </row>
    <row r="51" spans="1:1" ht="22" customHeight="1">
      <c r="A51" s="2" t="s">
        <v>277</v>
      </c>
    </row>
    <row r="52" spans="1:1" ht="22" customHeight="1">
      <c r="A52" s="2" t="s">
        <v>278</v>
      </c>
    </row>
    <row r="53" spans="1:1" ht="22" customHeight="1">
      <c r="A53" s="2" t="s">
        <v>279</v>
      </c>
    </row>
    <row r="54" spans="1:1" ht="22" customHeight="1">
      <c r="A54" s="2" t="s">
        <v>280</v>
      </c>
    </row>
    <row r="55" spans="1:1" ht="18" customHeight="1">
      <c r="A55" s="2"/>
    </row>
    <row r="56" spans="1:1" ht="22" customHeight="1">
      <c r="A56" s="2" t="s">
        <v>281</v>
      </c>
    </row>
    <row r="57" spans="1:1" ht="18" customHeight="1">
      <c r="A57" s="2"/>
    </row>
    <row r="58" spans="1:1" ht="22" customHeight="1">
      <c r="A58" s="2" t="s">
        <v>282</v>
      </c>
    </row>
    <row r="59" spans="1:1" ht="22" customHeight="1">
      <c r="A59" s="2" t="s">
        <v>283</v>
      </c>
    </row>
    <row r="60" spans="1:1" ht="22" customHeight="1">
      <c r="A60" s="2" t="s">
        <v>284</v>
      </c>
    </row>
    <row r="61" spans="1:1" ht="22" customHeight="1">
      <c r="A61" s="2" t="s">
        <v>285</v>
      </c>
    </row>
    <row r="62" spans="1:1" ht="22" customHeight="1">
      <c r="A62" s="2" t="s">
        <v>286</v>
      </c>
    </row>
    <row r="63" spans="1:1" ht="22" customHeight="1">
      <c r="A63" s="11" t="s">
        <v>287</v>
      </c>
    </row>
    <row r="64" spans="1:1" ht="38" customHeight="1">
      <c r="A64" s="2" t="s">
        <v>288</v>
      </c>
    </row>
    <row r="65" spans="1:1" ht="38" customHeight="1">
      <c r="A65" s="2" t="s">
        <v>289</v>
      </c>
    </row>
    <row r="66" spans="1:1" ht="38" customHeight="1">
      <c r="A66" s="2" t="s">
        <v>290</v>
      </c>
    </row>
    <row r="67" spans="1:1" ht="38" customHeight="1">
      <c r="A67" s="2" t="s">
        <v>291</v>
      </c>
    </row>
    <row r="68" spans="1:1" ht="38" customHeight="1">
      <c r="A68" s="2" t="s">
        <v>292</v>
      </c>
    </row>
    <row r="69" spans="1:1" ht="38" customHeight="1">
      <c r="A69" s="2" t="s">
        <v>293</v>
      </c>
    </row>
    <row r="70" spans="1:1" ht="38" customHeight="1">
      <c r="A70" s="2" t="s">
        <v>294</v>
      </c>
    </row>
    <row r="71" spans="1:1" ht="54" customHeight="1">
      <c r="A71" s="2" t="s">
        <v>295</v>
      </c>
    </row>
    <row r="72" spans="1:1">
      <c r="A72" s="1"/>
    </row>
    <row r="73" spans="1:1">
      <c r="A73"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9EF1-F4C7-4686-9A38-48870A00749D}">
  <dimension ref="C3:Q22"/>
  <sheetViews>
    <sheetView tabSelected="1" topLeftCell="K13" zoomScale="114" zoomScaleNormal="83" workbookViewId="0">
      <selection activeCell="U16" sqref="U16"/>
    </sheetView>
  </sheetViews>
  <sheetFormatPr defaultRowHeight="14"/>
  <cols>
    <col min="1" max="1" width="9.33203125" customWidth="1"/>
    <col min="3" max="3" width="19.9140625" customWidth="1"/>
    <col min="4" max="4" width="13.6640625" customWidth="1"/>
    <col min="5" max="5" width="80.9140625" customWidth="1"/>
    <col min="15" max="15" width="16.6640625" customWidth="1"/>
    <col min="16" max="16" width="30.58203125" customWidth="1"/>
    <col min="17" max="17" width="25.58203125" customWidth="1"/>
  </cols>
  <sheetData>
    <row r="3" spans="3:17">
      <c r="C3" t="s">
        <v>302</v>
      </c>
      <c r="D3" t="s">
        <v>303</v>
      </c>
    </row>
    <row r="4" spans="3:17">
      <c r="C4" t="s">
        <v>300</v>
      </c>
      <c r="D4" s="14">
        <f>AVERAGE(FalakWeeklyData[Actual_Demand])</f>
        <v>5691.0192307692305</v>
      </c>
    </row>
    <row r="5" spans="3:17">
      <c r="C5" t="s">
        <v>296</v>
      </c>
      <c r="D5">
        <f>MAX(FalakWeeklyData[Actual_Demand])</f>
        <v>9044</v>
      </c>
    </row>
    <row r="6" spans="3:17">
      <c r="C6" t="s">
        <v>297</v>
      </c>
      <c r="D6">
        <f>MIN(FalakWeeklyData[Actual_Demand])</f>
        <v>3974</v>
      </c>
    </row>
    <row r="7" spans="3:17">
      <c r="C7" t="s">
        <v>298</v>
      </c>
      <c r="D7">
        <f>D5-D6</f>
        <v>5070</v>
      </c>
    </row>
    <row r="8" spans="3:17">
      <c r="C8" t="s">
        <v>299</v>
      </c>
      <c r="D8" s="14">
        <f>_xlfn.STDEV.S(FalakWeeklyData[Actual_Demand])</f>
        <v>900.98472631179766</v>
      </c>
    </row>
    <row r="9" spans="3:17">
      <c r="C9" t="s">
        <v>301</v>
      </c>
      <c r="D9" s="15">
        <f>D8/D4</f>
        <v>0.15831693582065359</v>
      </c>
    </row>
    <row r="13" spans="3:17" ht="112">
      <c r="E13" s="16" t="s">
        <v>305</v>
      </c>
    </row>
    <row r="14" spans="3:17">
      <c r="J14" t="s">
        <v>304</v>
      </c>
      <c r="O14" s="17" t="s">
        <v>306</v>
      </c>
      <c r="P14" s="17" t="s">
        <v>307</v>
      </c>
      <c r="Q14" s="17" t="s">
        <v>308</v>
      </c>
    </row>
    <row r="15" spans="3:17" ht="56">
      <c r="O15" s="19" t="s">
        <v>309</v>
      </c>
      <c r="P15" s="18" t="s">
        <v>310</v>
      </c>
      <c r="Q15" s="18" t="s">
        <v>311</v>
      </c>
    </row>
    <row r="16" spans="3:17" ht="84">
      <c r="O16" s="19" t="s">
        <v>312</v>
      </c>
      <c r="P16" s="18" t="s">
        <v>313</v>
      </c>
      <c r="Q16" s="18" t="s">
        <v>314</v>
      </c>
    </row>
    <row r="17" spans="15:17" ht="140">
      <c r="O17" s="19" t="s">
        <v>315</v>
      </c>
      <c r="P17" s="18" t="s">
        <v>316</v>
      </c>
      <c r="Q17" s="18" t="s">
        <v>317</v>
      </c>
    </row>
    <row r="18" spans="15:17" ht="84">
      <c r="O18" s="19" t="s">
        <v>318</v>
      </c>
      <c r="P18" s="18" t="s">
        <v>319</v>
      </c>
      <c r="Q18" s="18" t="s">
        <v>320</v>
      </c>
    </row>
    <row r="19" spans="15:17" ht="70">
      <c r="O19" s="19" t="s">
        <v>321</v>
      </c>
      <c r="P19" s="18" t="s">
        <v>322</v>
      </c>
      <c r="Q19" s="18" t="s">
        <v>323</v>
      </c>
    </row>
    <row r="20" spans="15:17" ht="84">
      <c r="O20" s="19" t="s">
        <v>324</v>
      </c>
      <c r="P20" s="18" t="s">
        <v>325</v>
      </c>
      <c r="Q20" s="18" t="s">
        <v>326</v>
      </c>
    </row>
    <row r="21" spans="15:17" ht="70">
      <c r="O21" s="19" t="s">
        <v>327</v>
      </c>
      <c r="P21" s="18" t="s">
        <v>328</v>
      </c>
      <c r="Q21" s="18" t="s">
        <v>329</v>
      </c>
    </row>
    <row r="22" spans="15:17" ht="84">
      <c r="O22" s="19" t="s">
        <v>330</v>
      </c>
      <c r="P22" s="18" t="s">
        <v>331</v>
      </c>
      <c r="Q22" s="18" t="s">
        <v>332</v>
      </c>
    </row>
  </sheetData>
  <phoneticPr fontId="8" type="noConversion"/>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showGridLines="0" workbookViewId="0">
      <pane ySplit="5" topLeftCell="A6" activePane="bottomLeft" state="frozen"/>
      <selection pane="bottomLeft" sqref="A1:F2"/>
    </sheetView>
  </sheetViews>
  <sheetFormatPr defaultRowHeight="14"/>
  <cols>
    <col min="1" max="1" width="27" customWidth="1"/>
    <col min="2" max="2" width="56" customWidth="1"/>
    <col min="3" max="3" width="24" customWidth="1"/>
    <col min="4" max="4" width="37" customWidth="1"/>
    <col min="5" max="5" width="68" customWidth="1"/>
    <col min="6" max="6" width="59" customWidth="1"/>
  </cols>
  <sheetData>
    <row r="1" spans="1:6" ht="20" customHeight="1">
      <c r="A1" s="12" t="s">
        <v>0</v>
      </c>
      <c r="B1" s="12"/>
      <c r="C1" s="12"/>
      <c r="D1" s="12"/>
      <c r="E1" s="12"/>
      <c r="F1" s="12"/>
    </row>
    <row r="2" spans="1:6" ht="20" customHeight="1">
      <c r="A2" s="12"/>
      <c r="B2" s="12"/>
      <c r="C2" s="12"/>
      <c r="D2" s="12"/>
      <c r="E2" s="12"/>
      <c r="F2" s="12"/>
    </row>
    <row r="3" spans="1:6">
      <c r="A3" s="1"/>
      <c r="B3" s="1"/>
      <c r="C3" s="1"/>
      <c r="D3" s="1"/>
      <c r="E3" s="1"/>
      <c r="F3" s="1"/>
    </row>
    <row r="4" spans="1:6" ht="18">
      <c r="A4" s="4" t="s">
        <v>31</v>
      </c>
      <c r="B4" s="1"/>
      <c r="C4" s="1"/>
      <c r="D4" s="1"/>
      <c r="E4" s="1"/>
      <c r="F4" s="1"/>
    </row>
    <row r="5" spans="1:6" ht="36" customHeight="1">
      <c r="A5" s="5" t="s">
        <v>32</v>
      </c>
      <c r="B5" s="5" t="s">
        <v>33</v>
      </c>
      <c r="C5" s="5" t="s">
        <v>34</v>
      </c>
      <c r="D5" s="5" t="s">
        <v>35</v>
      </c>
      <c r="E5" s="5" t="s">
        <v>36</v>
      </c>
      <c r="F5" s="5" t="s">
        <v>37</v>
      </c>
    </row>
    <row r="6" spans="1:6" ht="53" customHeight="1">
      <c r="A6" s="11" t="s">
        <v>2</v>
      </c>
      <c r="B6" s="2" t="s">
        <v>38</v>
      </c>
      <c r="C6" s="2" t="s">
        <v>39</v>
      </c>
      <c r="D6" s="2" t="s">
        <v>40</v>
      </c>
      <c r="E6" s="2" t="s">
        <v>41</v>
      </c>
      <c r="F6" s="2" t="s">
        <v>42</v>
      </c>
    </row>
    <row r="7" spans="1:6" ht="53" customHeight="1">
      <c r="A7" s="11" t="s">
        <v>3</v>
      </c>
      <c r="B7" s="2" t="s">
        <v>43</v>
      </c>
      <c r="C7" s="2" t="s">
        <v>44</v>
      </c>
      <c r="D7" s="2" t="s">
        <v>45</v>
      </c>
      <c r="E7" s="2" t="s">
        <v>17</v>
      </c>
      <c r="F7" s="2" t="s">
        <v>46</v>
      </c>
    </row>
    <row r="8" spans="1:6" ht="53" customHeight="1">
      <c r="A8" s="11" t="s">
        <v>4</v>
      </c>
      <c r="B8" s="2" t="s">
        <v>47</v>
      </c>
      <c r="C8" s="2" t="s">
        <v>44</v>
      </c>
      <c r="D8" s="2" t="s">
        <v>48</v>
      </c>
      <c r="E8" s="2" t="s">
        <v>49</v>
      </c>
      <c r="F8" s="2" t="s">
        <v>50</v>
      </c>
    </row>
    <row r="9" spans="1:6" ht="53" customHeight="1">
      <c r="A9" s="11" t="s">
        <v>5</v>
      </c>
      <c r="B9" s="2" t="s">
        <v>51</v>
      </c>
      <c r="C9" s="2" t="s">
        <v>52</v>
      </c>
      <c r="D9" s="2" t="s">
        <v>53</v>
      </c>
      <c r="E9" s="2" t="s">
        <v>54</v>
      </c>
      <c r="F9" s="2" t="s">
        <v>55</v>
      </c>
    </row>
    <row r="10" spans="1:6" ht="53" customHeight="1">
      <c r="A10" s="11" t="s">
        <v>6</v>
      </c>
      <c r="B10" s="2" t="s">
        <v>56</v>
      </c>
      <c r="C10" s="2" t="s">
        <v>52</v>
      </c>
      <c r="D10" s="2" t="s">
        <v>53</v>
      </c>
      <c r="E10" s="2" t="s">
        <v>57</v>
      </c>
      <c r="F10" s="2" t="s">
        <v>58</v>
      </c>
    </row>
    <row r="11" spans="1:6" ht="53" customHeight="1">
      <c r="A11" s="11" t="s">
        <v>7</v>
      </c>
      <c r="B11" s="2" t="s">
        <v>59</v>
      </c>
      <c r="C11" s="2" t="s">
        <v>60</v>
      </c>
      <c r="D11" s="2" t="s">
        <v>61</v>
      </c>
      <c r="E11" s="2" t="s">
        <v>62</v>
      </c>
      <c r="F11" s="2" t="s">
        <v>63</v>
      </c>
    </row>
    <row r="12" spans="1:6" ht="53" customHeight="1">
      <c r="A12" s="11" t="s">
        <v>8</v>
      </c>
      <c r="B12" s="2" t="s">
        <v>64</v>
      </c>
      <c r="C12" s="2" t="s">
        <v>65</v>
      </c>
      <c r="D12" s="2" t="s">
        <v>53</v>
      </c>
      <c r="E12" s="2" t="s">
        <v>66</v>
      </c>
      <c r="F12" s="2" t="s">
        <v>67</v>
      </c>
    </row>
    <row r="13" spans="1:6" ht="53" customHeight="1">
      <c r="A13" s="11" t="s">
        <v>9</v>
      </c>
      <c r="B13" s="2" t="s">
        <v>68</v>
      </c>
      <c r="C13" s="2" t="s">
        <v>69</v>
      </c>
      <c r="D13" s="2" t="s">
        <v>53</v>
      </c>
      <c r="E13" s="2" t="s">
        <v>70</v>
      </c>
      <c r="F13" s="2" t="s">
        <v>71</v>
      </c>
    </row>
    <row r="14" spans="1:6" ht="53" customHeight="1">
      <c r="A14" s="11" t="s">
        <v>10</v>
      </c>
      <c r="B14" s="2" t="s">
        <v>72</v>
      </c>
      <c r="C14" s="2" t="s">
        <v>65</v>
      </c>
      <c r="D14" s="2" t="s">
        <v>73</v>
      </c>
      <c r="E14" s="2" t="s">
        <v>74</v>
      </c>
      <c r="F14" s="2" t="s">
        <v>75</v>
      </c>
    </row>
    <row r="15" spans="1:6" ht="53" customHeight="1">
      <c r="A15" s="11" t="s">
        <v>11</v>
      </c>
      <c r="B15" s="2" t="s">
        <v>76</v>
      </c>
      <c r="C15" s="2" t="s">
        <v>77</v>
      </c>
      <c r="D15" s="2" t="s">
        <v>78</v>
      </c>
      <c r="E15" s="2" t="s">
        <v>79</v>
      </c>
      <c r="F15" s="2" t="s">
        <v>80</v>
      </c>
    </row>
    <row r="16" spans="1:6" ht="53" customHeight="1">
      <c r="A16" s="11" t="s">
        <v>12</v>
      </c>
      <c r="B16" s="2" t="s">
        <v>81</v>
      </c>
      <c r="C16" s="2" t="s">
        <v>82</v>
      </c>
      <c r="D16" s="2" t="s">
        <v>53</v>
      </c>
      <c r="E16" s="2" t="s">
        <v>83</v>
      </c>
      <c r="F16" s="2" t="s">
        <v>84</v>
      </c>
    </row>
    <row r="17" spans="1:6" ht="53" customHeight="1">
      <c r="A17" s="11" t="s">
        <v>13</v>
      </c>
      <c r="B17" s="2" t="s">
        <v>85</v>
      </c>
      <c r="C17" s="2" t="s">
        <v>65</v>
      </c>
      <c r="D17" s="2" t="s">
        <v>53</v>
      </c>
      <c r="E17" s="2" t="s">
        <v>86</v>
      </c>
      <c r="F17" s="2" t="s">
        <v>87</v>
      </c>
    </row>
    <row r="18" spans="1:6" ht="53" customHeight="1">
      <c r="A18" s="11" t="s">
        <v>14</v>
      </c>
      <c r="B18" s="2" t="s">
        <v>88</v>
      </c>
      <c r="C18" s="2" t="s">
        <v>77</v>
      </c>
      <c r="D18" s="2" t="s">
        <v>89</v>
      </c>
      <c r="E18" s="2" t="s">
        <v>90</v>
      </c>
      <c r="F18" s="2" t="s">
        <v>91</v>
      </c>
    </row>
    <row r="19" spans="1:6" ht="53" customHeight="1">
      <c r="A19" s="11" t="s">
        <v>15</v>
      </c>
      <c r="B19" s="2" t="s">
        <v>92</v>
      </c>
      <c r="C19" s="2" t="s">
        <v>93</v>
      </c>
      <c r="D19" s="2" t="s">
        <v>94</v>
      </c>
      <c r="E19" s="2" t="s">
        <v>95</v>
      </c>
      <c r="F19" s="2" t="s">
        <v>96</v>
      </c>
    </row>
    <row r="20" spans="1:6" ht="53" customHeight="1">
      <c r="A20" s="11" t="s">
        <v>16</v>
      </c>
      <c r="B20" s="2" t="s">
        <v>97</v>
      </c>
      <c r="C20" s="2" t="s">
        <v>44</v>
      </c>
      <c r="D20" s="2" t="s">
        <v>98</v>
      </c>
      <c r="E20" s="2" t="s">
        <v>99</v>
      </c>
      <c r="F20" s="2" t="s">
        <v>100</v>
      </c>
    </row>
    <row r="21" spans="1:6">
      <c r="A21" s="1"/>
      <c r="B21" s="1"/>
      <c r="C21" s="1"/>
      <c r="D21" s="1"/>
      <c r="E21" s="1"/>
      <c r="F21" s="1"/>
    </row>
  </sheetData>
  <mergeCells count="1">
    <mergeCell ref="A1: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8BE79"/>
  </sheetPr>
  <dimension ref="A1:C70"/>
  <sheetViews>
    <sheetView showGridLines="0" workbookViewId="0">
      <selection sqref="A1:C2"/>
    </sheetView>
  </sheetViews>
  <sheetFormatPr defaultRowHeight="14"/>
  <cols>
    <col min="1" max="1" width="29" customWidth="1"/>
    <col min="2" max="2" width="108" customWidth="1"/>
    <col min="3" max="3" width="88" customWidth="1"/>
  </cols>
  <sheetData>
    <row r="1" spans="1:3" ht="20" customHeight="1">
      <c r="A1" s="12" t="s">
        <v>0</v>
      </c>
      <c r="B1" s="12"/>
      <c r="C1" s="12"/>
    </row>
    <row r="2" spans="1:3" ht="20" customHeight="1">
      <c r="A2" s="12"/>
      <c r="B2" s="12"/>
      <c r="C2" s="12"/>
    </row>
    <row r="3" spans="1:3">
      <c r="A3" s="1"/>
      <c r="B3" s="1"/>
      <c r="C3" s="1"/>
    </row>
    <row r="4" spans="1:3" ht="18">
      <c r="A4" s="4" t="s">
        <v>101</v>
      </c>
      <c r="B4" s="1"/>
      <c r="C4" s="1"/>
    </row>
    <row r="5" spans="1:3">
      <c r="A5" s="1"/>
      <c r="B5" s="1"/>
      <c r="C5" s="1"/>
    </row>
    <row r="6" spans="1:3">
      <c r="A6" s="13" t="s">
        <v>102</v>
      </c>
      <c r="B6" s="13"/>
      <c r="C6" s="13"/>
    </row>
    <row r="7" spans="1:3">
      <c r="A7" s="13"/>
      <c r="B7" s="13"/>
      <c r="C7" s="13"/>
    </row>
    <row r="8" spans="1:3">
      <c r="A8" s="13"/>
      <c r="B8" s="13"/>
      <c r="C8" s="13"/>
    </row>
    <row r="9" spans="1:3">
      <c r="A9" s="13"/>
      <c r="B9" s="13"/>
      <c r="C9" s="13"/>
    </row>
    <row r="10" spans="1:3">
      <c r="A10" s="13"/>
      <c r="B10" s="13"/>
      <c r="C10" s="13"/>
    </row>
    <row r="11" spans="1:3">
      <c r="A11" s="1"/>
      <c r="B11" s="1"/>
      <c r="C11" s="1"/>
    </row>
    <row r="12" spans="1:3" ht="36" customHeight="1">
      <c r="A12" s="5" t="s">
        <v>103</v>
      </c>
      <c r="B12" s="5" t="s">
        <v>104</v>
      </c>
      <c r="C12" s="5" t="s">
        <v>105</v>
      </c>
    </row>
    <row r="13" spans="1:3" ht="43" customHeight="1">
      <c r="A13" s="2" t="s">
        <v>106</v>
      </c>
      <c r="B13" s="2" t="s">
        <v>107</v>
      </c>
      <c r="C13" s="2" t="s">
        <v>108</v>
      </c>
    </row>
    <row r="14" spans="1:3" ht="43" customHeight="1">
      <c r="A14" s="2" t="s">
        <v>109</v>
      </c>
      <c r="B14" s="2" t="s">
        <v>110</v>
      </c>
      <c r="C14" s="2" t="s">
        <v>111</v>
      </c>
    </row>
    <row r="15" spans="1:3" ht="43" customHeight="1">
      <c r="A15" s="2" t="s">
        <v>112</v>
      </c>
      <c r="B15" s="2" t="s">
        <v>113</v>
      </c>
      <c r="C15" s="2" t="s">
        <v>114</v>
      </c>
    </row>
    <row r="16" spans="1:3" ht="43" customHeight="1">
      <c r="A16" s="2" t="s">
        <v>115</v>
      </c>
      <c r="B16" s="2" t="s">
        <v>116</v>
      </c>
      <c r="C16" s="2" t="s">
        <v>117</v>
      </c>
    </row>
    <row r="17" spans="1:3" ht="43" customHeight="1">
      <c r="A17" s="2" t="s">
        <v>118</v>
      </c>
      <c r="B17" s="2" t="s">
        <v>119</v>
      </c>
      <c r="C17" s="2" t="s">
        <v>120</v>
      </c>
    </row>
    <row r="18" spans="1:3" ht="43" customHeight="1">
      <c r="A18" s="2" t="s">
        <v>121</v>
      </c>
      <c r="B18" s="2" t="s">
        <v>122</v>
      </c>
      <c r="C18" s="2" t="s">
        <v>123</v>
      </c>
    </row>
    <row r="19" spans="1:3" ht="43" customHeight="1">
      <c r="A19" s="2" t="s">
        <v>124</v>
      </c>
      <c r="B19" s="2" t="s">
        <v>125</v>
      </c>
      <c r="C19" s="2" t="s">
        <v>126</v>
      </c>
    </row>
    <row r="20" spans="1:3" ht="43" customHeight="1">
      <c r="A20" s="2" t="s">
        <v>127</v>
      </c>
      <c r="B20" s="2" t="s">
        <v>128</v>
      </c>
      <c r="C20" s="2" t="s">
        <v>129</v>
      </c>
    </row>
    <row r="21" spans="1:3" ht="43" customHeight="1">
      <c r="A21" s="2" t="s">
        <v>130</v>
      </c>
      <c r="B21" s="2" t="s">
        <v>131</v>
      </c>
      <c r="C21" s="2" t="s">
        <v>132</v>
      </c>
    </row>
    <row r="22" spans="1:3" ht="43" customHeight="1">
      <c r="A22" s="2" t="s">
        <v>133</v>
      </c>
      <c r="B22" s="2" t="s">
        <v>134</v>
      </c>
      <c r="C22" s="2" t="s">
        <v>135</v>
      </c>
    </row>
    <row r="23" spans="1:3" ht="43" customHeight="1">
      <c r="A23" s="2" t="s">
        <v>136</v>
      </c>
      <c r="B23" s="2" t="s">
        <v>137</v>
      </c>
      <c r="C23" s="2" t="s">
        <v>138</v>
      </c>
    </row>
    <row r="24" spans="1:3" ht="43" customHeight="1">
      <c r="A24" s="2" t="s">
        <v>139</v>
      </c>
      <c r="B24" s="2" t="s">
        <v>140</v>
      </c>
      <c r="C24" s="2" t="s">
        <v>141</v>
      </c>
    </row>
    <row r="25" spans="1:3" ht="43" customHeight="1">
      <c r="A25" s="2" t="s">
        <v>142</v>
      </c>
      <c r="B25" s="2" t="s">
        <v>143</v>
      </c>
      <c r="C25" s="2" t="s">
        <v>144</v>
      </c>
    </row>
    <row r="26" spans="1:3" ht="43" customHeight="1">
      <c r="A26" s="2" t="s">
        <v>145</v>
      </c>
      <c r="B26" s="2" t="s">
        <v>146</v>
      </c>
      <c r="C26" s="2" t="s">
        <v>147</v>
      </c>
    </row>
    <row r="27" spans="1:3" ht="43" customHeight="1">
      <c r="A27" s="2" t="s">
        <v>148</v>
      </c>
      <c r="B27" s="2" t="s">
        <v>149</v>
      </c>
      <c r="C27" s="2" t="s">
        <v>150</v>
      </c>
    </row>
    <row r="28" spans="1:3" ht="43" customHeight="1">
      <c r="A28" s="2" t="s">
        <v>151</v>
      </c>
      <c r="B28" s="2" t="s">
        <v>152</v>
      </c>
      <c r="C28" s="2" t="s">
        <v>153</v>
      </c>
    </row>
    <row r="29" spans="1:3" ht="43" customHeight="1">
      <c r="A29" s="2" t="s">
        <v>154</v>
      </c>
      <c r="B29" s="2" t="s">
        <v>155</v>
      </c>
      <c r="C29" s="2" t="s">
        <v>153</v>
      </c>
    </row>
    <row r="30" spans="1:3" ht="43" customHeight="1">
      <c r="A30" s="2" t="s">
        <v>156</v>
      </c>
      <c r="B30" s="2" t="s">
        <v>157</v>
      </c>
      <c r="C30" s="2" t="s">
        <v>153</v>
      </c>
    </row>
    <row r="31" spans="1:3" ht="43" customHeight="1">
      <c r="A31" s="2" t="s">
        <v>158</v>
      </c>
      <c r="B31" s="2" t="s">
        <v>159</v>
      </c>
      <c r="C31" s="2" t="s">
        <v>160</v>
      </c>
    </row>
    <row r="32" spans="1:3" ht="43" customHeight="1">
      <c r="A32" s="2" t="s">
        <v>161</v>
      </c>
      <c r="B32" s="2" t="s">
        <v>162</v>
      </c>
      <c r="C32" s="2" t="s">
        <v>163</v>
      </c>
    </row>
    <row r="33" spans="1:3" ht="43" customHeight="1">
      <c r="A33" s="2" t="s">
        <v>164</v>
      </c>
      <c r="B33" s="2" t="s">
        <v>165</v>
      </c>
      <c r="C33" s="2" t="s">
        <v>166</v>
      </c>
    </row>
    <row r="34" spans="1:3" ht="43" customHeight="1">
      <c r="A34" s="2" t="s">
        <v>167</v>
      </c>
      <c r="B34" s="2" t="s">
        <v>168</v>
      </c>
      <c r="C34" s="2" t="s">
        <v>169</v>
      </c>
    </row>
    <row r="35" spans="1:3" ht="43" customHeight="1">
      <c r="A35" s="2" t="s">
        <v>170</v>
      </c>
      <c r="B35" s="2" t="s">
        <v>171</v>
      </c>
      <c r="C35" s="2" t="s">
        <v>172</v>
      </c>
    </row>
    <row r="36" spans="1:3" ht="43" customHeight="1">
      <c r="A36" s="2" t="s">
        <v>173</v>
      </c>
      <c r="B36" s="2" t="s">
        <v>174</v>
      </c>
      <c r="C36" s="2" t="s">
        <v>175</v>
      </c>
    </row>
    <row r="37" spans="1:3" ht="43" customHeight="1">
      <c r="A37" s="2" t="s">
        <v>176</v>
      </c>
      <c r="B37" s="2" t="s">
        <v>177</v>
      </c>
      <c r="C37" s="2" t="s">
        <v>178</v>
      </c>
    </row>
    <row r="38" spans="1:3" ht="43" customHeight="1">
      <c r="A38" s="2" t="s">
        <v>179</v>
      </c>
      <c r="B38" s="2" t="s">
        <v>180</v>
      </c>
      <c r="C38" s="2" t="s">
        <v>181</v>
      </c>
    </row>
    <row r="39" spans="1:3" ht="43" customHeight="1">
      <c r="A39" s="2" t="s">
        <v>182</v>
      </c>
      <c r="B39" s="2" t="s">
        <v>183</v>
      </c>
      <c r="C39" s="2" t="s">
        <v>184</v>
      </c>
    </row>
    <row r="40" spans="1:3" ht="43" customHeight="1">
      <c r="A40" s="2" t="s">
        <v>185</v>
      </c>
      <c r="B40" s="2" t="s">
        <v>186</v>
      </c>
      <c r="C40" s="2" t="s">
        <v>187</v>
      </c>
    </row>
    <row r="41" spans="1:3" ht="43" customHeight="1">
      <c r="A41" s="2" t="s">
        <v>188</v>
      </c>
      <c r="B41" s="2" t="s">
        <v>189</v>
      </c>
      <c r="C41" s="2" t="s">
        <v>190</v>
      </c>
    </row>
    <row r="42" spans="1:3">
      <c r="A42" s="1"/>
      <c r="B42" s="1"/>
      <c r="C42" s="1"/>
    </row>
    <row r="43" spans="1:3">
      <c r="A43" s="1"/>
      <c r="B43" s="1"/>
      <c r="C43" s="1"/>
    </row>
    <row r="44" spans="1:3" ht="36" customHeight="1">
      <c r="A44" s="5" t="s">
        <v>191</v>
      </c>
      <c r="B44" s="5" t="s">
        <v>192</v>
      </c>
      <c r="C44" s="5" t="s">
        <v>193</v>
      </c>
    </row>
    <row r="45" spans="1:3" ht="43" customHeight="1">
      <c r="A45" s="2" t="s">
        <v>194</v>
      </c>
      <c r="B45" s="2" t="s">
        <v>195</v>
      </c>
      <c r="C45" s="2" t="s">
        <v>196</v>
      </c>
    </row>
    <row r="46" spans="1:3" ht="43" customHeight="1">
      <c r="A46" s="2" t="s">
        <v>197</v>
      </c>
      <c r="B46" s="2" t="s">
        <v>198</v>
      </c>
      <c r="C46" s="2" t="s">
        <v>199</v>
      </c>
    </row>
    <row r="47" spans="1:3" ht="43" customHeight="1">
      <c r="A47" s="2" t="s">
        <v>200</v>
      </c>
      <c r="B47" s="2" t="s">
        <v>201</v>
      </c>
      <c r="C47" s="2" t="s">
        <v>202</v>
      </c>
    </row>
    <row r="48" spans="1:3" ht="43" customHeight="1">
      <c r="A48" s="2" t="s">
        <v>203</v>
      </c>
      <c r="B48" s="2" t="s">
        <v>204</v>
      </c>
      <c r="C48" s="2" t="s">
        <v>205</v>
      </c>
    </row>
    <row r="49" spans="1:3" ht="43" customHeight="1">
      <c r="A49" s="2" t="s">
        <v>206</v>
      </c>
      <c r="B49" s="2" t="s">
        <v>207</v>
      </c>
      <c r="C49" s="2" t="s">
        <v>208</v>
      </c>
    </row>
    <row r="50" spans="1:3" ht="43" customHeight="1">
      <c r="A50" s="2" t="s">
        <v>209</v>
      </c>
      <c r="B50" s="2" t="s">
        <v>210</v>
      </c>
      <c r="C50" s="2" t="s">
        <v>211</v>
      </c>
    </row>
    <row r="51" spans="1:3" ht="43" customHeight="1">
      <c r="A51" s="2" t="s">
        <v>212</v>
      </c>
      <c r="B51" s="2" t="s">
        <v>213</v>
      </c>
      <c r="C51" s="2" t="s">
        <v>214</v>
      </c>
    </row>
    <row r="52" spans="1:3" ht="43" customHeight="1">
      <c r="A52" s="2" t="s">
        <v>215</v>
      </c>
      <c r="B52" s="2" t="s">
        <v>216</v>
      </c>
      <c r="C52" s="2" t="s">
        <v>217</v>
      </c>
    </row>
    <row r="53" spans="1:3" ht="43" customHeight="1">
      <c r="A53" s="2" t="s">
        <v>218</v>
      </c>
      <c r="B53" s="2" t="s">
        <v>219</v>
      </c>
      <c r="C53" s="2" t="s">
        <v>220</v>
      </c>
    </row>
    <row r="54" spans="1:3" ht="43" customHeight="1">
      <c r="A54" s="2" t="s">
        <v>221</v>
      </c>
      <c r="B54" s="2" t="s">
        <v>222</v>
      </c>
      <c r="C54" s="2" t="s">
        <v>223</v>
      </c>
    </row>
    <row r="55" spans="1:3" ht="43" customHeight="1">
      <c r="A55" s="2" t="s">
        <v>224</v>
      </c>
      <c r="B55" s="2" t="s">
        <v>225</v>
      </c>
      <c r="C55" s="2" t="s">
        <v>226</v>
      </c>
    </row>
    <row r="56" spans="1:3" ht="43" customHeight="1">
      <c r="A56" s="2" t="s">
        <v>227</v>
      </c>
      <c r="B56" s="2" t="s">
        <v>228</v>
      </c>
      <c r="C56" s="2" t="s">
        <v>229</v>
      </c>
    </row>
    <row r="57" spans="1:3" ht="43" customHeight="1">
      <c r="A57" s="2" t="s">
        <v>230</v>
      </c>
      <c r="B57" s="2" t="s">
        <v>231</v>
      </c>
      <c r="C57" s="2" t="s">
        <v>232</v>
      </c>
    </row>
    <row r="58" spans="1:3" ht="43" customHeight="1">
      <c r="A58" s="2" t="s">
        <v>233</v>
      </c>
      <c r="B58" s="2" t="s">
        <v>234</v>
      </c>
      <c r="C58" s="2" t="s">
        <v>235</v>
      </c>
    </row>
    <row r="59" spans="1:3">
      <c r="A59" s="1"/>
      <c r="B59" s="1"/>
      <c r="C59" s="1"/>
    </row>
    <row r="60" spans="1:3">
      <c r="A60" s="1"/>
      <c r="B60" s="1"/>
      <c r="C60" s="1"/>
    </row>
    <row r="61" spans="1:3">
      <c r="A61" s="1"/>
      <c r="B61" s="1"/>
      <c r="C61" s="1"/>
    </row>
    <row r="62" spans="1:3">
      <c r="A62" s="1"/>
      <c r="B62" s="1"/>
      <c r="C62" s="1"/>
    </row>
    <row r="63" spans="1:3">
      <c r="A63" s="1"/>
      <c r="B63" s="1"/>
      <c r="C63" s="1"/>
    </row>
    <row r="64" spans="1:3">
      <c r="A64" s="1"/>
      <c r="B64" s="1"/>
      <c r="C64" s="1"/>
    </row>
    <row r="65" spans="1:3">
      <c r="A65" s="1"/>
      <c r="B65" s="1"/>
      <c r="C65" s="1"/>
    </row>
    <row r="66" spans="1:3">
      <c r="A66" s="1"/>
      <c r="B66" s="1"/>
      <c r="C66" s="1"/>
    </row>
    <row r="67" spans="1:3">
      <c r="A67" s="1"/>
      <c r="B67" s="1"/>
      <c r="C67" s="1"/>
    </row>
    <row r="68" spans="1:3">
      <c r="A68" s="1"/>
      <c r="B68" s="1"/>
      <c r="C68" s="1"/>
    </row>
    <row r="69" spans="1:3">
      <c r="A69" s="1"/>
      <c r="B69" s="1"/>
      <c r="C69" s="1"/>
    </row>
    <row r="70" spans="1:3">
      <c r="A70" s="1"/>
      <c r="B70" s="1"/>
      <c r="C70" s="1"/>
    </row>
  </sheetData>
  <mergeCells count="2">
    <mergeCell ref="A1:C2"/>
    <mergeCell ref="A6:C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Prompt</vt:lpstr>
      <vt:lpstr>Sheet1</vt:lpstr>
      <vt:lpstr>Dictionary</vt:lpstr>
      <vt:lpstr>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OMER FAROOQ - 27878</cp:lastModifiedBy>
  <dcterms:modified xsi:type="dcterms:W3CDTF">2026-10-04T18:25:53Z</dcterms:modified>
</cp:coreProperties>
</file>