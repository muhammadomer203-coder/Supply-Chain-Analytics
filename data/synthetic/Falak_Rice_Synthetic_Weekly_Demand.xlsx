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_Demand_Data" sheetId="1" state="visible" r:id="rId3"/>
    <sheet name="Summary" sheetId="2" state="visible" r:id="rId4"/>
  </sheets>
  <definedNames>
    <definedName function="false" hidden="true" localSheetId="0" name="_xlnm._FilterDatabase" vbProcedure="false">Weekly_Demand_Data!$A$1:$E$105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<sst xmlns="http://schemas.openxmlformats.org/spreadsheetml/2006/main" count="154" uniqueCount="136">
  <si>
    <t xml:space="preserve">Week_Start_Date</t>
  </si>
  <si>
    <t xml:space="preserve">Units_Sold</t>
  </si>
  <si>
    <t xml:space="preserve">Unit_Price_PKR</t>
  </si>
  <si>
    <t xml:space="preserve">Promotion_Flag</t>
  </si>
  <si>
    <t xml:space="preserve">Notes</t>
  </si>
  <si>
    <t xml:space="preserve">2024-07-01</t>
  </si>
  <si>
    <t xml:space="preserve">2024-07-08</t>
  </si>
  <si>
    <t xml:space="preserve">2024-07-15</t>
  </si>
  <si>
    <t xml:space="preserve">2024-07-22</t>
  </si>
  <si>
    <t xml:space="preserve">2024-07-29</t>
  </si>
  <si>
    <t xml:space="preserve">2024-08-05</t>
  </si>
  <si>
    <t xml:space="preserve">2024-08-12</t>
  </si>
  <si>
    <t xml:space="preserve">Promotional campaign week</t>
  </si>
  <si>
    <t xml:space="preserve">2024-08-19</t>
  </si>
  <si>
    <t xml:space="preserve">2024-08-26</t>
  </si>
  <si>
    <t xml:space="preserve">2024-09-02</t>
  </si>
  <si>
    <t xml:space="preserve">2024-09-09</t>
  </si>
  <si>
    <t xml:space="preserve">Flood-related transport disruption in Sindh delayed distribution</t>
  </si>
  <si>
    <t xml:space="preserve">2024-09-16</t>
  </si>
  <si>
    <t xml:space="preserve">2024-09-23</t>
  </si>
  <si>
    <t xml:space="preserve">2024-09-30</t>
  </si>
  <si>
    <t xml:space="preserve">2024-10-07</t>
  </si>
  <si>
    <t xml:space="preserve">Price increase implemented (input cost inflation pass-through)</t>
  </si>
  <si>
    <t xml:space="preserve">2024-10-14</t>
  </si>
  <si>
    <t xml:space="preserve">2024-10-21</t>
  </si>
  <si>
    <t xml:space="preserve">2024-10-28</t>
  </si>
  <si>
    <t xml:space="preserve">2024-11-04</t>
  </si>
  <si>
    <t xml:space="preserve">2024-11-11</t>
  </si>
  <si>
    <t xml:space="preserve">2024-11-18</t>
  </si>
  <si>
    <t xml:space="preserve">2024-11-25</t>
  </si>
  <si>
    <t xml:space="preserve">2024-12-02</t>
  </si>
  <si>
    <t xml:space="preserve">2024-12-09</t>
  </si>
  <si>
    <t xml:space="preserve">2024-12-16</t>
  </si>
  <si>
    <t xml:space="preserve">2024-12-23</t>
  </si>
  <si>
    <t xml:space="preserve">2024-12-30</t>
  </si>
  <si>
    <t xml:space="preserve">2025-01-06</t>
  </si>
  <si>
    <t xml:space="preserve">2025-01-13</t>
  </si>
  <si>
    <t xml:space="preserve">Fuel price hike raised transport costs; distributors trimmed orders</t>
  </si>
  <si>
    <t xml:space="preserve">2025-01-20</t>
  </si>
  <si>
    <t xml:space="preserve">2025-01-27</t>
  </si>
  <si>
    <t xml:space="preserve">2025-02-03</t>
  </si>
  <si>
    <t xml:space="preserve">2025-02-10</t>
  </si>
  <si>
    <t xml:space="preserve">2025-02-17</t>
  </si>
  <si>
    <t xml:space="preserve">2025-02-24</t>
  </si>
  <si>
    <t xml:space="preserve">Ramadan demand uplift</t>
  </si>
  <si>
    <t xml:space="preserve">2025-03-03</t>
  </si>
  <si>
    <t xml:space="preserve">2025-03-10</t>
  </si>
  <si>
    <t xml:space="preserve">2025-03-17</t>
  </si>
  <si>
    <t xml:space="preserve">Ramadan demand uplift; Promotional campaign week</t>
  </si>
  <si>
    <t xml:space="preserve">2025-03-24</t>
  </si>
  <si>
    <t xml:space="preserve">Ramadan/Eid-ul-Fitr pre-holiday demand peak</t>
  </si>
  <si>
    <t xml:space="preserve">2025-03-31</t>
  </si>
  <si>
    <t xml:space="preserve">2025-04-07</t>
  </si>
  <si>
    <t xml:space="preserve">2025-04-14</t>
  </si>
  <si>
    <t xml:space="preserve">2025-04-21</t>
  </si>
  <si>
    <t xml:space="preserve">2025-04-28</t>
  </si>
  <si>
    <t xml:space="preserve">2025-05-05</t>
  </si>
  <si>
    <t xml:space="preserve">2025-05-12</t>
  </si>
  <si>
    <t xml:space="preserve">2025-05-19</t>
  </si>
  <si>
    <t xml:space="preserve">2025-05-26</t>
  </si>
  <si>
    <t xml:space="preserve">Eid-ul-Adha demand uplift; Promotional campaign week</t>
  </si>
  <si>
    <t xml:space="preserve">2025-06-02</t>
  </si>
  <si>
    <t xml:space="preserve">Eid-ul-Adha demand uplift</t>
  </si>
  <si>
    <t xml:space="preserve">2025-06-09</t>
  </si>
  <si>
    <t xml:space="preserve">2025-06-16</t>
  </si>
  <si>
    <t xml:space="preserve">2025-06-23</t>
  </si>
  <si>
    <t xml:space="preserve">2025-06-30</t>
  </si>
  <si>
    <t xml:space="preserve">Price increase implemented at new fiscal year start</t>
  </si>
  <si>
    <t xml:space="preserve">2025-07-07</t>
  </si>
  <si>
    <t xml:space="preserve">2025-07-14</t>
  </si>
  <si>
    <t xml:space="preserve">2025-07-21</t>
  </si>
  <si>
    <t xml:space="preserve">Monsoon flooding disrupted upcountry logistics</t>
  </si>
  <si>
    <t xml:space="preserve">2025-07-28</t>
  </si>
  <si>
    <t xml:space="preserve">2025-08-04</t>
  </si>
  <si>
    <t xml:space="preserve">2025-08-11</t>
  </si>
  <si>
    <t xml:space="preserve">2025-08-18</t>
  </si>
  <si>
    <t xml:space="preserve">2025-08-25</t>
  </si>
  <si>
    <t xml:space="preserve">2025-09-01</t>
  </si>
  <si>
    <t xml:space="preserve">2025-09-08</t>
  </si>
  <si>
    <t xml:space="preserve">2025-09-15</t>
  </si>
  <si>
    <t xml:space="preserve">2025-09-22</t>
  </si>
  <si>
    <t xml:space="preserve">2025-09-29</t>
  </si>
  <si>
    <t xml:space="preserve">2025-10-06</t>
  </si>
  <si>
    <t xml:space="preserve">2025-10-13</t>
  </si>
  <si>
    <t xml:space="preserve">2025-10-20</t>
  </si>
  <si>
    <t xml:space="preserve">2025-10-27</t>
  </si>
  <si>
    <t xml:space="preserve">2025-11-03</t>
  </si>
  <si>
    <t xml:space="preserve">2025-11-10</t>
  </si>
  <si>
    <t xml:space="preserve">2025-11-17</t>
  </si>
  <si>
    <t xml:space="preserve">2025-11-24</t>
  </si>
  <si>
    <t xml:space="preserve">2025-12-01</t>
  </si>
  <si>
    <t xml:space="preserve">2025-12-08</t>
  </si>
  <si>
    <t xml:space="preserve">2025-12-15</t>
  </si>
  <si>
    <t xml:space="preserve">2025-12-22</t>
  </si>
  <si>
    <t xml:space="preserve">2025-12-29</t>
  </si>
  <si>
    <t xml:space="preserve">2026-01-05</t>
  </si>
  <si>
    <t xml:space="preserve">2026-01-12</t>
  </si>
  <si>
    <t xml:space="preserve">2026-01-19</t>
  </si>
  <si>
    <t xml:space="preserve">2026-01-26</t>
  </si>
  <si>
    <t xml:space="preserve">2026-02-02</t>
  </si>
  <si>
    <t xml:space="preserve">2026-02-09</t>
  </si>
  <si>
    <t xml:space="preserve">2026-02-16</t>
  </si>
  <si>
    <t xml:space="preserve">2026-02-23</t>
  </si>
  <si>
    <t xml:space="preserve">2026-03-02</t>
  </si>
  <si>
    <t xml:space="preserve">2026-03-09</t>
  </si>
  <si>
    <t xml:space="preserve">2026-03-16</t>
  </si>
  <si>
    <t xml:space="preserve">2026-03-23</t>
  </si>
  <si>
    <t xml:space="preserve">Post-Eid-ul-Fitr demand normalization</t>
  </si>
  <si>
    <t xml:space="preserve">2026-03-30</t>
  </si>
  <si>
    <t xml:space="preserve">2026-04-06</t>
  </si>
  <si>
    <t xml:space="preserve">Temporary packaging material shortage slowed dispatches</t>
  </si>
  <si>
    <t xml:space="preserve">2026-04-13</t>
  </si>
  <si>
    <t xml:space="preserve">2026-04-20</t>
  </si>
  <si>
    <t xml:space="preserve">2026-04-27</t>
  </si>
  <si>
    <t xml:space="preserve">2026-05-04</t>
  </si>
  <si>
    <t xml:space="preserve">2026-05-11</t>
  </si>
  <si>
    <t xml:space="preserve">2026-05-18</t>
  </si>
  <si>
    <t xml:space="preserve">2026-05-25</t>
  </si>
  <si>
    <t xml:space="preserve">2026-06-01</t>
  </si>
  <si>
    <t xml:space="preserve">2026-06-08</t>
  </si>
  <si>
    <t xml:space="preserve">2026-06-15</t>
  </si>
  <si>
    <t xml:space="preserve">2026-06-22</t>
  </si>
  <si>
    <t xml:space="preserve">Falak Rice — Synthetic Weekly Demand Dataset: Summary</t>
  </si>
  <si>
    <t xml:space="preserve">Number of weekly observations</t>
  </si>
  <si>
    <t xml:space="preserve">Date range start</t>
  </si>
  <si>
    <t xml:space="preserve">Date range end</t>
  </si>
  <si>
    <t xml:space="preserve">Average weekly Units_Sold</t>
  </si>
  <si>
    <t xml:space="preserve">Minimum weekly Units_Sold</t>
  </si>
  <si>
    <t xml:space="preserve">Maximum weekly Units_Sold</t>
  </si>
  <si>
    <t xml:space="preserve">Total units over 104 weeks</t>
  </si>
  <si>
    <t xml:space="preserve">Average Unit_Price_PKR</t>
  </si>
  <si>
    <t xml:space="preserve">Minimum Unit_Price_PKR</t>
  </si>
  <si>
    <t xml:space="preserve">Maximum Unit_Price_PKR</t>
  </si>
  <si>
    <t xml:space="preserve">Number of promotional weeks</t>
  </si>
  <si>
    <t xml:space="preserve">Estimated illustrative annual Falak Rice revenue (PKR)</t>
  </si>
  <si>
    <t xml:space="preserve">Note: This dataset is entirely synthetic and illustrative, generated for a BBA Supply Chain Analytics course exercise. It is NOT MATCO Foods Limited's actual sales data. Scale was calibrated against MATCO Foods' publicly disclosed FY2025 (year ended 30-Jun-2025) group revenue of approximately PKR 26.67 billion, using an illustrative assumption that retail-packaged Falak-branded rice represents roughly 10% of total group revenue.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</si>
</sst>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C8A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C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C8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46560</v>
      </c>
      <c r="C2" s="4" t="n">
        <v>940.12</v>
      </c>
      <c r="D2" s="5" t="n">
        <v>0</v>
      </c>
      <c r="E2" s="6"/>
    </row>
    <row r="3" customFormat="false" ht="15" hidden="false" customHeight="false" outlineLevel="0" collapsed="false">
      <c r="A3" s="2" t="s">
        <v>6</v>
      </c>
      <c r="B3" s="3" t="n">
        <v>48070</v>
      </c>
      <c r="C3" s="4" t="n">
        <v>960.21</v>
      </c>
      <c r="D3" s="5" t="n">
        <v>0</v>
      </c>
      <c r="E3" s="6"/>
    </row>
    <row r="4" customFormat="false" ht="15" hidden="false" customHeight="false" outlineLevel="0" collapsed="false">
      <c r="A4" s="2" t="s">
        <v>7</v>
      </c>
      <c r="B4" s="3" t="n">
        <v>39510</v>
      </c>
      <c r="C4" s="4" t="n">
        <v>940.12</v>
      </c>
      <c r="D4" s="5" t="n">
        <v>0</v>
      </c>
      <c r="E4" s="6"/>
    </row>
    <row r="5" customFormat="false" ht="15" hidden="false" customHeight="false" outlineLevel="0" collapsed="false">
      <c r="A5" s="2" t="s">
        <v>8</v>
      </c>
      <c r="B5" s="3" t="n">
        <v>46250</v>
      </c>
      <c r="C5" s="4" t="n">
        <v>950.77</v>
      </c>
      <c r="D5" s="5" t="n">
        <v>0</v>
      </c>
      <c r="E5" s="6"/>
    </row>
    <row r="6" customFormat="false" ht="15" hidden="false" customHeight="false" outlineLevel="0" collapsed="false">
      <c r="A6" s="2" t="s">
        <v>9</v>
      </c>
      <c r="B6" s="3" t="n">
        <v>45870</v>
      </c>
      <c r="C6" s="4" t="n">
        <v>946.9</v>
      </c>
      <c r="D6" s="5" t="n">
        <v>0</v>
      </c>
      <c r="E6" s="6"/>
    </row>
    <row r="7" customFormat="false" ht="15" hidden="false" customHeight="false" outlineLevel="0" collapsed="false">
      <c r="A7" s="2" t="s">
        <v>10</v>
      </c>
      <c r="B7" s="3" t="n">
        <v>48840</v>
      </c>
      <c r="C7" s="4" t="n">
        <v>963.75</v>
      </c>
      <c r="D7" s="5" t="n">
        <v>0</v>
      </c>
      <c r="E7" s="6"/>
    </row>
    <row r="8" customFormat="false" ht="15" hidden="false" customHeight="false" outlineLevel="0" collapsed="false">
      <c r="A8" s="2" t="s">
        <v>11</v>
      </c>
      <c r="B8" s="3" t="n">
        <v>64310</v>
      </c>
      <c r="C8" s="4" t="n">
        <v>904.33</v>
      </c>
      <c r="D8" s="5" t="n">
        <v>1</v>
      </c>
      <c r="E8" s="6" t="s">
        <v>12</v>
      </c>
    </row>
    <row r="9" customFormat="false" ht="15" hidden="false" customHeight="false" outlineLevel="0" collapsed="false">
      <c r="A9" s="2" t="s">
        <v>13</v>
      </c>
      <c r="B9" s="3" t="n">
        <v>43400</v>
      </c>
      <c r="C9" s="4" t="n">
        <v>962.37</v>
      </c>
      <c r="D9" s="5" t="n">
        <v>0</v>
      </c>
      <c r="E9" s="6"/>
    </row>
    <row r="10" customFormat="false" ht="15" hidden="false" customHeight="false" outlineLevel="0" collapsed="false">
      <c r="A10" s="2" t="s">
        <v>14</v>
      </c>
      <c r="B10" s="3" t="n">
        <v>43160</v>
      </c>
      <c r="C10" s="4" t="n">
        <v>968.53</v>
      </c>
      <c r="D10" s="5" t="n">
        <v>0</v>
      </c>
      <c r="E10" s="6"/>
    </row>
    <row r="11" customFormat="false" ht="15" hidden="false" customHeight="false" outlineLevel="0" collapsed="false">
      <c r="A11" s="2" t="s">
        <v>15</v>
      </c>
      <c r="B11" s="3" t="n">
        <v>47610</v>
      </c>
      <c r="C11" s="4" t="n">
        <v>959.58</v>
      </c>
      <c r="D11" s="5" t="n">
        <v>0</v>
      </c>
      <c r="E11" s="6"/>
    </row>
    <row r="12" customFormat="false" ht="15" hidden="false" customHeight="false" outlineLevel="0" collapsed="false">
      <c r="A12" s="2" t="s">
        <v>16</v>
      </c>
      <c r="B12" s="3" t="n">
        <v>36470</v>
      </c>
      <c r="C12" s="4" t="n">
        <v>974.39</v>
      </c>
      <c r="D12" s="5" t="n">
        <v>0</v>
      </c>
      <c r="E12" s="6" t="s">
        <v>17</v>
      </c>
    </row>
    <row r="13" customFormat="false" ht="15" hidden="false" customHeight="false" outlineLevel="0" collapsed="false">
      <c r="A13" s="2" t="s">
        <v>18</v>
      </c>
      <c r="B13" s="3" t="n">
        <v>47440</v>
      </c>
      <c r="C13" s="4" t="n">
        <v>959.75</v>
      </c>
      <c r="D13" s="5" t="n">
        <v>0</v>
      </c>
      <c r="E13" s="6"/>
    </row>
    <row r="14" customFormat="false" ht="15" hidden="false" customHeight="false" outlineLevel="0" collapsed="false">
      <c r="A14" s="2" t="s">
        <v>19</v>
      </c>
      <c r="B14" s="3" t="n">
        <v>46860</v>
      </c>
      <c r="C14" s="4" t="n">
        <v>970.28</v>
      </c>
      <c r="D14" s="5" t="n">
        <v>0</v>
      </c>
      <c r="E14" s="6"/>
    </row>
    <row r="15" customFormat="false" ht="15" hidden="false" customHeight="false" outlineLevel="0" collapsed="false">
      <c r="A15" s="2" t="s">
        <v>20</v>
      </c>
      <c r="B15" s="3" t="n">
        <v>49360</v>
      </c>
      <c r="C15" s="4" t="n">
        <v>970.4</v>
      </c>
      <c r="D15" s="5" t="n">
        <v>0</v>
      </c>
      <c r="E15" s="6"/>
    </row>
    <row r="16" customFormat="false" ht="15" hidden="false" customHeight="false" outlineLevel="0" collapsed="false">
      <c r="A16" s="2" t="s">
        <v>21</v>
      </c>
      <c r="B16" s="3" t="n">
        <v>49680</v>
      </c>
      <c r="C16" s="4" t="n">
        <v>1022.99</v>
      </c>
      <c r="D16" s="5" t="n">
        <v>0</v>
      </c>
      <c r="E16" s="6" t="s">
        <v>22</v>
      </c>
    </row>
    <row r="17" customFormat="false" ht="15" hidden="false" customHeight="false" outlineLevel="0" collapsed="false">
      <c r="A17" s="2" t="s">
        <v>23</v>
      </c>
      <c r="B17" s="3" t="n">
        <v>46940</v>
      </c>
      <c r="C17" s="4" t="n">
        <v>963.97</v>
      </c>
      <c r="D17" s="5" t="n">
        <v>0</v>
      </c>
      <c r="E17" s="6"/>
    </row>
    <row r="18" customFormat="false" ht="15" hidden="false" customHeight="false" outlineLevel="0" collapsed="false">
      <c r="A18" s="2" t="s">
        <v>24</v>
      </c>
      <c r="B18" s="3" t="n">
        <v>45640</v>
      </c>
      <c r="C18" s="4" t="n">
        <v>976.17</v>
      </c>
      <c r="D18" s="5" t="n">
        <v>0</v>
      </c>
      <c r="E18" s="6"/>
    </row>
    <row r="19" customFormat="false" ht="15" hidden="false" customHeight="false" outlineLevel="0" collapsed="false">
      <c r="A19" s="2" t="s">
        <v>25</v>
      </c>
      <c r="B19" s="3" t="n">
        <v>52320</v>
      </c>
      <c r="C19" s="4" t="n">
        <v>970.35</v>
      </c>
      <c r="D19" s="5" t="n">
        <v>0</v>
      </c>
      <c r="E19" s="6"/>
    </row>
    <row r="20" customFormat="false" ht="15" hidden="false" customHeight="false" outlineLevel="0" collapsed="false">
      <c r="A20" s="2" t="s">
        <v>26</v>
      </c>
      <c r="B20" s="3" t="n">
        <v>61430</v>
      </c>
      <c r="C20" s="4" t="n">
        <v>920.3</v>
      </c>
      <c r="D20" s="5" t="n">
        <v>1</v>
      </c>
      <c r="E20" s="6" t="s">
        <v>12</v>
      </c>
    </row>
    <row r="21" customFormat="false" ht="15" hidden="false" customHeight="false" outlineLevel="0" collapsed="false">
      <c r="A21" s="2" t="s">
        <v>27</v>
      </c>
      <c r="B21" s="3" t="n">
        <v>55290</v>
      </c>
      <c r="C21" s="4" t="n">
        <v>979.27</v>
      </c>
      <c r="D21" s="5" t="n">
        <v>0</v>
      </c>
      <c r="E21" s="6"/>
    </row>
    <row r="22" customFormat="false" ht="15" hidden="false" customHeight="false" outlineLevel="0" collapsed="false">
      <c r="A22" s="2" t="s">
        <v>28</v>
      </c>
      <c r="B22" s="3" t="n">
        <v>50200</v>
      </c>
      <c r="C22" s="4" t="n">
        <v>977.51</v>
      </c>
      <c r="D22" s="5" t="n">
        <v>0</v>
      </c>
      <c r="E22" s="6"/>
    </row>
    <row r="23" customFormat="false" ht="15" hidden="false" customHeight="false" outlineLevel="0" collapsed="false">
      <c r="A23" s="2" t="s">
        <v>29</v>
      </c>
      <c r="B23" s="3" t="n">
        <v>53180</v>
      </c>
      <c r="C23" s="4" t="n">
        <v>978.64</v>
      </c>
      <c r="D23" s="5" t="n">
        <v>0</v>
      </c>
      <c r="E23" s="6"/>
    </row>
    <row r="24" customFormat="false" ht="15" hidden="false" customHeight="false" outlineLevel="0" collapsed="false">
      <c r="A24" s="2" t="s">
        <v>30</v>
      </c>
      <c r="B24" s="3" t="n">
        <v>56070</v>
      </c>
      <c r="C24" s="4" t="n">
        <v>979.95</v>
      </c>
      <c r="D24" s="5" t="n">
        <v>0</v>
      </c>
      <c r="E24" s="6"/>
    </row>
    <row r="25" customFormat="false" ht="15" hidden="false" customHeight="false" outlineLevel="0" collapsed="false">
      <c r="A25" s="2" t="s">
        <v>31</v>
      </c>
      <c r="B25" s="3" t="n">
        <v>55460</v>
      </c>
      <c r="C25" s="4" t="n">
        <v>979.69</v>
      </c>
      <c r="D25" s="5" t="n">
        <v>0</v>
      </c>
      <c r="E25" s="6"/>
    </row>
    <row r="26" customFormat="false" ht="15" hidden="false" customHeight="false" outlineLevel="0" collapsed="false">
      <c r="A26" s="2" t="s">
        <v>32</v>
      </c>
      <c r="B26" s="3" t="n">
        <v>54120</v>
      </c>
      <c r="C26" s="4" t="n">
        <v>986.48</v>
      </c>
      <c r="D26" s="5" t="n">
        <v>0</v>
      </c>
      <c r="E26" s="6"/>
    </row>
    <row r="27" customFormat="false" ht="15" hidden="false" customHeight="false" outlineLevel="0" collapsed="false">
      <c r="A27" s="2" t="s">
        <v>33</v>
      </c>
      <c r="B27" s="3" t="n">
        <v>68140</v>
      </c>
      <c r="C27" s="4" t="n">
        <v>918.32</v>
      </c>
      <c r="D27" s="5" t="n">
        <v>1</v>
      </c>
      <c r="E27" s="6" t="s">
        <v>12</v>
      </c>
    </row>
    <row r="28" customFormat="false" ht="15" hidden="false" customHeight="false" outlineLevel="0" collapsed="false">
      <c r="A28" s="2" t="s">
        <v>34</v>
      </c>
      <c r="B28" s="3" t="n">
        <v>50860</v>
      </c>
      <c r="C28" s="4" t="n">
        <v>980.11</v>
      </c>
      <c r="D28" s="5" t="n">
        <v>0</v>
      </c>
      <c r="E28" s="6"/>
    </row>
    <row r="29" customFormat="false" ht="15" hidden="false" customHeight="false" outlineLevel="0" collapsed="false">
      <c r="A29" s="2" t="s">
        <v>35</v>
      </c>
      <c r="B29" s="3" t="n">
        <v>58920</v>
      </c>
      <c r="C29" s="4" t="n">
        <v>975.56</v>
      </c>
      <c r="D29" s="5" t="n">
        <v>0</v>
      </c>
      <c r="E29" s="6"/>
    </row>
    <row r="30" customFormat="false" ht="15" hidden="false" customHeight="false" outlineLevel="0" collapsed="false">
      <c r="A30" s="2" t="s">
        <v>36</v>
      </c>
      <c r="B30" s="3" t="n">
        <v>48500</v>
      </c>
      <c r="C30" s="4" t="n">
        <v>968.76</v>
      </c>
      <c r="D30" s="5" t="n">
        <v>0</v>
      </c>
      <c r="E30" s="6" t="s">
        <v>37</v>
      </c>
    </row>
    <row r="31" customFormat="false" ht="15" hidden="false" customHeight="false" outlineLevel="0" collapsed="false">
      <c r="A31" s="2" t="s">
        <v>38</v>
      </c>
      <c r="B31" s="3" t="n">
        <v>52280</v>
      </c>
      <c r="C31" s="4" t="n">
        <v>988.21</v>
      </c>
      <c r="D31" s="5" t="n">
        <v>0</v>
      </c>
      <c r="E31" s="6"/>
    </row>
    <row r="32" customFormat="false" ht="15" hidden="false" customHeight="false" outlineLevel="0" collapsed="false">
      <c r="A32" s="2" t="s">
        <v>39</v>
      </c>
      <c r="B32" s="3" t="n">
        <v>55830</v>
      </c>
      <c r="C32" s="4" t="n">
        <v>994.89</v>
      </c>
      <c r="D32" s="5" t="n">
        <v>0</v>
      </c>
      <c r="E32" s="6"/>
    </row>
    <row r="33" customFormat="false" ht="15" hidden="false" customHeight="false" outlineLevel="0" collapsed="false">
      <c r="A33" s="2" t="s">
        <v>40</v>
      </c>
      <c r="B33" s="3" t="n">
        <v>62440</v>
      </c>
      <c r="C33" s="4" t="n">
        <v>925.48</v>
      </c>
      <c r="D33" s="5" t="n">
        <v>1</v>
      </c>
      <c r="E33" s="6" t="s">
        <v>12</v>
      </c>
    </row>
    <row r="34" customFormat="false" ht="15" hidden="false" customHeight="false" outlineLevel="0" collapsed="false">
      <c r="A34" s="2" t="s">
        <v>41</v>
      </c>
      <c r="B34" s="3" t="n">
        <v>57060</v>
      </c>
      <c r="C34" s="4" t="n">
        <v>988.49</v>
      </c>
      <c r="D34" s="5" t="n">
        <v>0</v>
      </c>
      <c r="E34" s="6"/>
    </row>
    <row r="35" customFormat="false" ht="15" hidden="false" customHeight="false" outlineLevel="0" collapsed="false">
      <c r="A35" s="2" t="s">
        <v>42</v>
      </c>
      <c r="B35" s="3" t="n">
        <v>49110</v>
      </c>
      <c r="C35" s="4" t="n">
        <v>980.41</v>
      </c>
      <c r="D35" s="5" t="n">
        <v>0</v>
      </c>
      <c r="E35" s="6"/>
    </row>
    <row r="36" customFormat="false" ht="15" hidden="false" customHeight="false" outlineLevel="0" collapsed="false">
      <c r="A36" s="2" t="s">
        <v>43</v>
      </c>
      <c r="B36" s="3" t="n">
        <v>61670</v>
      </c>
      <c r="C36" s="4" t="n">
        <v>997.85</v>
      </c>
      <c r="D36" s="5" t="n">
        <v>0</v>
      </c>
      <c r="E36" s="6" t="s">
        <v>44</v>
      </c>
    </row>
    <row r="37" customFormat="false" ht="15" hidden="false" customHeight="false" outlineLevel="0" collapsed="false">
      <c r="A37" s="2" t="s">
        <v>45</v>
      </c>
      <c r="B37" s="3" t="n">
        <v>61750</v>
      </c>
      <c r="C37" s="4" t="n">
        <v>1001.04</v>
      </c>
      <c r="D37" s="5" t="n">
        <v>0</v>
      </c>
      <c r="E37" s="6" t="s">
        <v>44</v>
      </c>
    </row>
    <row r="38" customFormat="false" ht="15" hidden="false" customHeight="false" outlineLevel="0" collapsed="false">
      <c r="A38" s="2" t="s">
        <v>46</v>
      </c>
      <c r="B38" s="3" t="n">
        <v>59420</v>
      </c>
      <c r="C38" s="4" t="n">
        <v>997.02</v>
      </c>
      <c r="D38" s="5" t="n">
        <v>0</v>
      </c>
      <c r="E38" s="6" t="s">
        <v>44</v>
      </c>
    </row>
    <row r="39" customFormat="false" ht="15" hidden="false" customHeight="false" outlineLevel="0" collapsed="false">
      <c r="A39" s="2" t="s">
        <v>47</v>
      </c>
      <c r="B39" s="3" t="n">
        <v>78000</v>
      </c>
      <c r="C39" s="4" t="n">
        <v>941.18</v>
      </c>
      <c r="D39" s="5" t="n">
        <v>1</v>
      </c>
      <c r="E39" s="6" t="s">
        <v>48</v>
      </c>
    </row>
    <row r="40" customFormat="false" ht="15" hidden="false" customHeight="false" outlineLevel="0" collapsed="false">
      <c r="A40" s="2" t="s">
        <v>49</v>
      </c>
      <c r="B40" s="3" t="n">
        <v>68240</v>
      </c>
      <c r="C40" s="4" t="n">
        <v>994.34</v>
      </c>
      <c r="D40" s="5" t="n">
        <v>0</v>
      </c>
      <c r="E40" s="6" t="s">
        <v>50</v>
      </c>
    </row>
    <row r="41" customFormat="false" ht="15" hidden="false" customHeight="false" outlineLevel="0" collapsed="false">
      <c r="A41" s="2" t="s">
        <v>51</v>
      </c>
      <c r="B41" s="3" t="n">
        <v>69770</v>
      </c>
      <c r="C41" s="4" t="n">
        <v>987.27</v>
      </c>
      <c r="D41" s="5" t="n">
        <v>0</v>
      </c>
      <c r="E41" s="6" t="s">
        <v>50</v>
      </c>
    </row>
    <row r="42" customFormat="false" ht="15" hidden="false" customHeight="false" outlineLevel="0" collapsed="false">
      <c r="A42" s="2" t="s">
        <v>52</v>
      </c>
      <c r="B42" s="3" t="n">
        <v>52300</v>
      </c>
      <c r="C42" s="4" t="n">
        <v>995.79</v>
      </c>
      <c r="D42" s="5" t="n">
        <v>0</v>
      </c>
      <c r="E42" s="6"/>
    </row>
    <row r="43" customFormat="false" ht="15" hidden="false" customHeight="false" outlineLevel="0" collapsed="false">
      <c r="A43" s="2" t="s">
        <v>53</v>
      </c>
      <c r="B43" s="3" t="n">
        <v>50710</v>
      </c>
      <c r="C43" s="4" t="n">
        <v>1006.56</v>
      </c>
      <c r="D43" s="5" t="n">
        <v>0</v>
      </c>
      <c r="E43" s="6"/>
    </row>
    <row r="44" customFormat="false" ht="15" hidden="false" customHeight="false" outlineLevel="0" collapsed="false">
      <c r="A44" s="2" t="s">
        <v>54</v>
      </c>
      <c r="B44" s="3" t="n">
        <v>52350</v>
      </c>
      <c r="C44" s="4" t="n">
        <v>1009.68</v>
      </c>
      <c r="D44" s="5" t="n">
        <v>0</v>
      </c>
      <c r="E44" s="6"/>
    </row>
    <row r="45" customFormat="false" ht="15" hidden="false" customHeight="false" outlineLevel="0" collapsed="false">
      <c r="A45" s="2" t="s">
        <v>55</v>
      </c>
      <c r="B45" s="3" t="n">
        <v>50500</v>
      </c>
      <c r="C45" s="4" t="n">
        <v>1000.02</v>
      </c>
      <c r="D45" s="5" t="n">
        <v>0</v>
      </c>
      <c r="E45" s="6"/>
    </row>
    <row r="46" customFormat="false" ht="15" hidden="false" customHeight="false" outlineLevel="0" collapsed="false">
      <c r="A46" s="2" t="s">
        <v>56</v>
      </c>
      <c r="B46" s="3" t="n">
        <v>50660</v>
      </c>
      <c r="C46" s="4" t="n">
        <v>988.57</v>
      </c>
      <c r="D46" s="5" t="n">
        <v>0</v>
      </c>
      <c r="E46" s="6"/>
    </row>
    <row r="47" customFormat="false" ht="15" hidden="false" customHeight="false" outlineLevel="0" collapsed="false">
      <c r="A47" s="2" t="s">
        <v>57</v>
      </c>
      <c r="B47" s="3" t="n">
        <v>45870</v>
      </c>
      <c r="C47" s="4" t="n">
        <v>993.48</v>
      </c>
      <c r="D47" s="5" t="n">
        <v>0</v>
      </c>
      <c r="E47" s="6"/>
    </row>
    <row r="48" customFormat="false" ht="15" hidden="false" customHeight="false" outlineLevel="0" collapsed="false">
      <c r="A48" s="2" t="s">
        <v>58</v>
      </c>
      <c r="B48" s="3" t="n">
        <v>47560</v>
      </c>
      <c r="C48" s="4" t="n">
        <v>1012.09</v>
      </c>
      <c r="D48" s="5" t="n">
        <v>0</v>
      </c>
      <c r="E48" s="6"/>
    </row>
    <row r="49" customFormat="false" ht="15" hidden="false" customHeight="false" outlineLevel="0" collapsed="false">
      <c r="A49" s="2" t="s">
        <v>59</v>
      </c>
      <c r="B49" s="3" t="n">
        <v>78390</v>
      </c>
      <c r="C49" s="4" t="n">
        <v>961.09</v>
      </c>
      <c r="D49" s="5" t="n">
        <v>1</v>
      </c>
      <c r="E49" s="6" t="s">
        <v>60</v>
      </c>
    </row>
    <row r="50" customFormat="false" ht="15" hidden="false" customHeight="false" outlineLevel="0" collapsed="false">
      <c r="A50" s="2" t="s">
        <v>61</v>
      </c>
      <c r="B50" s="3" t="n">
        <v>58250</v>
      </c>
      <c r="C50" s="4" t="n">
        <v>1018.04</v>
      </c>
      <c r="D50" s="5" t="n">
        <v>0</v>
      </c>
      <c r="E50" s="6" t="s">
        <v>62</v>
      </c>
    </row>
    <row r="51" customFormat="false" ht="15" hidden="false" customHeight="false" outlineLevel="0" collapsed="false">
      <c r="A51" s="2" t="s">
        <v>63</v>
      </c>
      <c r="B51" s="3" t="n">
        <v>46610</v>
      </c>
      <c r="C51" s="4" t="n">
        <v>1009.77</v>
      </c>
      <c r="D51" s="5" t="n">
        <v>0</v>
      </c>
      <c r="E51" s="6"/>
    </row>
    <row r="52" customFormat="false" ht="15" hidden="false" customHeight="false" outlineLevel="0" collapsed="false">
      <c r="A52" s="2" t="s">
        <v>64</v>
      </c>
      <c r="B52" s="3" t="n">
        <v>46640</v>
      </c>
      <c r="C52" s="4" t="n">
        <v>1009.67</v>
      </c>
      <c r="D52" s="5" t="n">
        <v>0</v>
      </c>
      <c r="E52" s="6"/>
    </row>
    <row r="53" customFormat="false" ht="15" hidden="false" customHeight="false" outlineLevel="0" collapsed="false">
      <c r="A53" s="2" t="s">
        <v>65</v>
      </c>
      <c r="B53" s="3" t="n">
        <v>53000</v>
      </c>
      <c r="C53" s="4" t="n">
        <v>996.85</v>
      </c>
      <c r="D53" s="5" t="n">
        <v>0</v>
      </c>
      <c r="E53" s="6"/>
    </row>
    <row r="54" customFormat="false" ht="15" hidden="false" customHeight="false" outlineLevel="0" collapsed="false">
      <c r="A54" s="2" t="s">
        <v>66</v>
      </c>
      <c r="B54" s="3" t="n">
        <v>51670</v>
      </c>
      <c r="C54" s="4" t="n">
        <v>1053.68</v>
      </c>
      <c r="D54" s="5" t="n">
        <v>0</v>
      </c>
      <c r="E54" s="6" t="s">
        <v>67</v>
      </c>
    </row>
    <row r="55" customFormat="false" ht="15" hidden="false" customHeight="false" outlineLevel="0" collapsed="false">
      <c r="A55" s="2" t="s">
        <v>68</v>
      </c>
      <c r="B55" s="3" t="n">
        <v>48150</v>
      </c>
      <c r="C55" s="4" t="n">
        <v>1002.19</v>
      </c>
      <c r="D55" s="5" t="n">
        <v>0</v>
      </c>
      <c r="E55" s="6"/>
    </row>
    <row r="56" customFormat="false" ht="15" hidden="false" customHeight="false" outlineLevel="0" collapsed="false">
      <c r="A56" s="2" t="s">
        <v>69</v>
      </c>
      <c r="B56" s="3" t="n">
        <v>50590</v>
      </c>
      <c r="C56" s="4" t="n">
        <v>1012.76</v>
      </c>
      <c r="D56" s="5" t="n">
        <v>0</v>
      </c>
      <c r="E56" s="6"/>
    </row>
    <row r="57" customFormat="false" ht="15" hidden="false" customHeight="false" outlineLevel="0" collapsed="false">
      <c r="A57" s="2" t="s">
        <v>70</v>
      </c>
      <c r="B57" s="3" t="n">
        <v>39970</v>
      </c>
      <c r="C57" s="4" t="n">
        <v>1019.64</v>
      </c>
      <c r="D57" s="5" t="n">
        <v>0</v>
      </c>
      <c r="E57" s="6" t="s">
        <v>71</v>
      </c>
    </row>
    <row r="58" customFormat="false" ht="15" hidden="false" customHeight="false" outlineLevel="0" collapsed="false">
      <c r="A58" s="2" t="s">
        <v>72</v>
      </c>
      <c r="B58" s="3" t="n">
        <v>56180</v>
      </c>
      <c r="C58" s="4" t="n">
        <v>1018.24</v>
      </c>
      <c r="D58" s="5" t="n">
        <v>0</v>
      </c>
      <c r="E58" s="6"/>
    </row>
    <row r="59" customFormat="false" ht="15" hidden="false" customHeight="false" outlineLevel="0" collapsed="false">
      <c r="A59" s="2" t="s">
        <v>73</v>
      </c>
      <c r="B59" s="3" t="n">
        <v>46980</v>
      </c>
      <c r="C59" s="4" t="n">
        <v>1023.77</v>
      </c>
      <c r="D59" s="5" t="n">
        <v>0</v>
      </c>
      <c r="E59" s="6"/>
    </row>
    <row r="60" customFormat="false" ht="15" hidden="false" customHeight="false" outlineLevel="0" collapsed="false">
      <c r="A60" s="2" t="s">
        <v>74</v>
      </c>
      <c r="B60" s="3" t="n">
        <v>61770</v>
      </c>
      <c r="C60" s="4" t="n">
        <v>969.84</v>
      </c>
      <c r="D60" s="5" t="n">
        <v>1</v>
      </c>
      <c r="E60" s="6" t="s">
        <v>12</v>
      </c>
    </row>
    <row r="61" customFormat="false" ht="15" hidden="false" customHeight="false" outlineLevel="0" collapsed="false">
      <c r="A61" s="2" t="s">
        <v>75</v>
      </c>
      <c r="B61" s="3" t="n">
        <v>52070</v>
      </c>
      <c r="C61" s="4" t="n">
        <v>1039.46</v>
      </c>
      <c r="D61" s="5" t="n">
        <v>0</v>
      </c>
      <c r="E61" s="6"/>
    </row>
    <row r="62" customFormat="false" ht="15" hidden="false" customHeight="false" outlineLevel="0" collapsed="false">
      <c r="A62" s="2" t="s">
        <v>76</v>
      </c>
      <c r="B62" s="3" t="n">
        <v>46660</v>
      </c>
      <c r="C62" s="4" t="n">
        <v>1019.17</v>
      </c>
      <c r="D62" s="5" t="n">
        <v>0</v>
      </c>
      <c r="E62" s="6"/>
    </row>
    <row r="63" customFormat="false" ht="15" hidden="false" customHeight="false" outlineLevel="0" collapsed="false">
      <c r="A63" s="2" t="s">
        <v>77</v>
      </c>
      <c r="B63" s="3" t="n">
        <v>49150</v>
      </c>
      <c r="C63" s="4" t="n">
        <v>1022.99</v>
      </c>
      <c r="D63" s="5" t="n">
        <v>0</v>
      </c>
      <c r="E63" s="6"/>
    </row>
    <row r="64" customFormat="false" ht="15" hidden="false" customHeight="false" outlineLevel="0" collapsed="false">
      <c r="A64" s="2" t="s">
        <v>78</v>
      </c>
      <c r="B64" s="3" t="n">
        <v>47580</v>
      </c>
      <c r="C64" s="4" t="n">
        <v>1034.78</v>
      </c>
      <c r="D64" s="5" t="n">
        <v>0</v>
      </c>
      <c r="E64" s="6"/>
    </row>
    <row r="65" customFormat="false" ht="15" hidden="false" customHeight="false" outlineLevel="0" collapsed="false">
      <c r="A65" s="2" t="s">
        <v>79</v>
      </c>
      <c r="B65" s="3" t="n">
        <v>51930</v>
      </c>
      <c r="C65" s="4" t="n">
        <v>1014.37</v>
      </c>
      <c r="D65" s="5" t="n">
        <v>0</v>
      </c>
      <c r="E65" s="6"/>
    </row>
    <row r="66" customFormat="false" ht="15" hidden="false" customHeight="false" outlineLevel="0" collapsed="false">
      <c r="A66" s="2" t="s">
        <v>80</v>
      </c>
      <c r="B66" s="3" t="n">
        <v>49090</v>
      </c>
      <c r="C66" s="4" t="n">
        <v>1034.01</v>
      </c>
      <c r="D66" s="5" t="n">
        <v>0</v>
      </c>
      <c r="E66" s="6"/>
    </row>
    <row r="67" customFormat="false" ht="15" hidden="false" customHeight="false" outlineLevel="0" collapsed="false">
      <c r="A67" s="2" t="s">
        <v>81</v>
      </c>
      <c r="B67" s="3" t="n">
        <v>56050</v>
      </c>
      <c r="C67" s="4" t="n">
        <v>1052.65</v>
      </c>
      <c r="D67" s="5" t="n">
        <v>0</v>
      </c>
      <c r="E67" s="6"/>
    </row>
    <row r="68" customFormat="false" ht="15" hidden="false" customHeight="false" outlineLevel="0" collapsed="false">
      <c r="A68" s="2" t="s">
        <v>82</v>
      </c>
      <c r="B68" s="3" t="n">
        <v>62590</v>
      </c>
      <c r="C68" s="4" t="n">
        <v>1037.58</v>
      </c>
      <c r="D68" s="5" t="n">
        <v>0</v>
      </c>
      <c r="E68" s="6"/>
    </row>
    <row r="69" customFormat="false" ht="15" hidden="false" customHeight="false" outlineLevel="0" collapsed="false">
      <c r="A69" s="2" t="s">
        <v>83</v>
      </c>
      <c r="B69" s="3" t="n">
        <v>49460</v>
      </c>
      <c r="C69" s="4" t="n">
        <v>1012.51</v>
      </c>
      <c r="D69" s="5" t="n">
        <v>0</v>
      </c>
      <c r="E69" s="6"/>
    </row>
    <row r="70" customFormat="false" ht="15" hidden="false" customHeight="false" outlineLevel="0" collapsed="false">
      <c r="A70" s="2" t="s">
        <v>84</v>
      </c>
      <c r="B70" s="3" t="n">
        <v>54240</v>
      </c>
      <c r="C70" s="4" t="n">
        <v>1027.4</v>
      </c>
      <c r="D70" s="5" t="n">
        <v>0</v>
      </c>
      <c r="E70" s="6"/>
    </row>
    <row r="71" customFormat="false" ht="15" hidden="false" customHeight="false" outlineLevel="0" collapsed="false">
      <c r="A71" s="2" t="s">
        <v>85</v>
      </c>
      <c r="B71" s="3" t="n">
        <v>51790</v>
      </c>
      <c r="C71" s="4" t="n">
        <v>1030.74</v>
      </c>
      <c r="D71" s="5" t="n">
        <v>0</v>
      </c>
      <c r="E71" s="6"/>
    </row>
    <row r="72" customFormat="false" ht="15" hidden="false" customHeight="false" outlineLevel="0" collapsed="false">
      <c r="A72" s="2" t="s">
        <v>86</v>
      </c>
      <c r="B72" s="3" t="n">
        <v>68620</v>
      </c>
      <c r="C72" s="4" t="n">
        <v>977.58</v>
      </c>
      <c r="D72" s="5" t="n">
        <v>1</v>
      </c>
      <c r="E72" s="6" t="s">
        <v>12</v>
      </c>
    </row>
    <row r="73" customFormat="false" ht="15" hidden="false" customHeight="false" outlineLevel="0" collapsed="false">
      <c r="A73" s="2" t="s">
        <v>87</v>
      </c>
      <c r="B73" s="3" t="n">
        <v>57170</v>
      </c>
      <c r="C73" s="4" t="n">
        <v>1028.84</v>
      </c>
      <c r="D73" s="5" t="n">
        <v>0</v>
      </c>
      <c r="E73" s="6"/>
    </row>
    <row r="74" customFormat="false" ht="15" hidden="false" customHeight="false" outlineLevel="0" collapsed="false">
      <c r="A74" s="2" t="s">
        <v>88</v>
      </c>
      <c r="B74" s="3" t="n">
        <v>51130</v>
      </c>
      <c r="C74" s="4" t="n">
        <v>1035.81</v>
      </c>
      <c r="D74" s="5" t="n">
        <v>0</v>
      </c>
      <c r="E74" s="6"/>
    </row>
    <row r="75" customFormat="false" ht="15" hidden="false" customHeight="false" outlineLevel="0" collapsed="false">
      <c r="A75" s="2" t="s">
        <v>89</v>
      </c>
      <c r="B75" s="3" t="n">
        <v>57810</v>
      </c>
      <c r="C75" s="4" t="n">
        <v>1060.56</v>
      </c>
      <c r="D75" s="5" t="n">
        <v>0</v>
      </c>
      <c r="E75" s="6"/>
    </row>
    <row r="76" customFormat="false" ht="15" hidden="false" customHeight="false" outlineLevel="0" collapsed="false">
      <c r="A76" s="2" t="s">
        <v>90</v>
      </c>
      <c r="B76" s="3" t="n">
        <v>58660</v>
      </c>
      <c r="C76" s="4" t="n">
        <v>1053.65</v>
      </c>
      <c r="D76" s="5" t="n">
        <v>0</v>
      </c>
      <c r="E76" s="6"/>
    </row>
    <row r="77" customFormat="false" ht="15" hidden="false" customHeight="false" outlineLevel="0" collapsed="false">
      <c r="A77" s="2" t="s">
        <v>91</v>
      </c>
      <c r="B77" s="3" t="n">
        <v>56200</v>
      </c>
      <c r="C77" s="4" t="n">
        <v>1032.28</v>
      </c>
      <c r="D77" s="5" t="n">
        <v>0</v>
      </c>
      <c r="E77" s="6"/>
    </row>
    <row r="78" customFormat="false" ht="15" hidden="false" customHeight="false" outlineLevel="0" collapsed="false">
      <c r="A78" s="2" t="s">
        <v>92</v>
      </c>
      <c r="B78" s="3" t="n">
        <v>54410</v>
      </c>
      <c r="C78" s="4" t="n">
        <v>1038.34</v>
      </c>
      <c r="D78" s="5" t="n">
        <v>0</v>
      </c>
      <c r="E78" s="6"/>
    </row>
    <row r="79" customFormat="false" ht="15" hidden="false" customHeight="false" outlineLevel="0" collapsed="false">
      <c r="A79" s="2" t="s">
        <v>93</v>
      </c>
      <c r="B79" s="3" t="n">
        <v>66730</v>
      </c>
      <c r="C79" s="4" t="n">
        <v>992.61</v>
      </c>
      <c r="D79" s="5" t="n">
        <v>1</v>
      </c>
      <c r="E79" s="6" t="s">
        <v>12</v>
      </c>
    </row>
    <row r="80" customFormat="false" ht="15" hidden="false" customHeight="false" outlineLevel="0" collapsed="false">
      <c r="A80" s="2" t="s">
        <v>94</v>
      </c>
      <c r="B80" s="3" t="n">
        <v>54860</v>
      </c>
      <c r="C80" s="4" t="n">
        <v>1058.21</v>
      </c>
      <c r="D80" s="5" t="n">
        <v>0</v>
      </c>
      <c r="E80" s="6"/>
    </row>
    <row r="81" customFormat="false" ht="15" hidden="false" customHeight="false" outlineLevel="0" collapsed="false">
      <c r="A81" s="2" t="s">
        <v>95</v>
      </c>
      <c r="B81" s="3" t="n">
        <v>60250</v>
      </c>
      <c r="C81" s="4" t="n">
        <v>1048.06</v>
      </c>
      <c r="D81" s="5" t="n">
        <v>0</v>
      </c>
      <c r="E81" s="6"/>
    </row>
    <row r="82" customFormat="false" ht="15" hidden="false" customHeight="false" outlineLevel="0" collapsed="false">
      <c r="A82" s="2" t="s">
        <v>96</v>
      </c>
      <c r="B82" s="3" t="n">
        <v>58610</v>
      </c>
      <c r="C82" s="4" t="n">
        <v>1044.09</v>
      </c>
      <c r="D82" s="5" t="n">
        <v>0</v>
      </c>
      <c r="E82" s="6"/>
    </row>
    <row r="83" customFormat="false" ht="15" hidden="false" customHeight="false" outlineLevel="0" collapsed="false">
      <c r="A83" s="2" t="s">
        <v>97</v>
      </c>
      <c r="B83" s="3" t="n">
        <v>60720</v>
      </c>
      <c r="C83" s="4" t="n">
        <v>1047.45</v>
      </c>
      <c r="D83" s="5" t="n">
        <v>0</v>
      </c>
      <c r="E83" s="6"/>
    </row>
    <row r="84" customFormat="false" ht="15" hidden="false" customHeight="false" outlineLevel="0" collapsed="false">
      <c r="A84" s="2" t="s">
        <v>98</v>
      </c>
      <c r="B84" s="3" t="n">
        <v>66100</v>
      </c>
      <c r="C84" s="4" t="n">
        <v>991.99</v>
      </c>
      <c r="D84" s="5" t="n">
        <v>1</v>
      </c>
      <c r="E84" s="6" t="s">
        <v>12</v>
      </c>
    </row>
    <row r="85" customFormat="false" ht="15" hidden="false" customHeight="false" outlineLevel="0" collapsed="false">
      <c r="A85" s="2" t="s">
        <v>99</v>
      </c>
      <c r="B85" s="3" t="n">
        <v>65630</v>
      </c>
      <c r="C85" s="4" t="n">
        <v>1093.42</v>
      </c>
      <c r="D85" s="5" t="n">
        <v>0</v>
      </c>
      <c r="E85" s="6" t="s">
        <v>22</v>
      </c>
    </row>
    <row r="86" customFormat="false" ht="15" hidden="false" customHeight="false" outlineLevel="0" collapsed="false">
      <c r="A86" s="2" t="s">
        <v>100</v>
      </c>
      <c r="B86" s="3" t="n">
        <v>58720</v>
      </c>
      <c r="C86" s="4" t="n">
        <v>1059.04</v>
      </c>
      <c r="D86" s="5" t="n">
        <v>0</v>
      </c>
      <c r="E86" s="6"/>
    </row>
    <row r="87" customFormat="false" ht="15" hidden="false" customHeight="false" outlineLevel="0" collapsed="false">
      <c r="A87" s="2" t="s">
        <v>101</v>
      </c>
      <c r="B87" s="3" t="n">
        <v>78980</v>
      </c>
      <c r="C87" s="4" t="n">
        <v>1059.6</v>
      </c>
      <c r="D87" s="5" t="n">
        <v>0</v>
      </c>
      <c r="E87" s="6" t="s">
        <v>44</v>
      </c>
    </row>
    <row r="88" customFormat="false" ht="15" hidden="false" customHeight="false" outlineLevel="0" collapsed="false">
      <c r="A88" s="2" t="s">
        <v>102</v>
      </c>
      <c r="B88" s="3" t="n">
        <v>70410</v>
      </c>
      <c r="C88" s="4" t="n">
        <v>1070.25</v>
      </c>
      <c r="D88" s="5" t="n">
        <v>0</v>
      </c>
      <c r="E88" s="6" t="s">
        <v>44</v>
      </c>
    </row>
    <row r="89" customFormat="false" ht="15" hidden="false" customHeight="false" outlineLevel="0" collapsed="false">
      <c r="A89" s="2" t="s">
        <v>103</v>
      </c>
      <c r="B89" s="3" t="n">
        <v>84040</v>
      </c>
      <c r="C89" s="4" t="n">
        <v>998.04</v>
      </c>
      <c r="D89" s="5" t="n">
        <v>1</v>
      </c>
      <c r="E89" s="6" t="s">
        <v>48</v>
      </c>
    </row>
    <row r="90" customFormat="false" ht="15" hidden="false" customHeight="false" outlineLevel="0" collapsed="false">
      <c r="A90" s="2" t="s">
        <v>104</v>
      </c>
      <c r="B90" s="3" t="n">
        <v>71700</v>
      </c>
      <c r="C90" s="4" t="n">
        <v>1046.55</v>
      </c>
      <c r="D90" s="5" t="n">
        <v>0</v>
      </c>
      <c r="E90" s="6" t="s">
        <v>50</v>
      </c>
    </row>
    <row r="91" customFormat="false" ht="15" hidden="false" customHeight="false" outlineLevel="0" collapsed="false">
      <c r="A91" s="2" t="s">
        <v>105</v>
      </c>
      <c r="B91" s="3" t="n">
        <v>87640</v>
      </c>
      <c r="C91" s="4" t="n">
        <v>1080.64</v>
      </c>
      <c r="D91" s="5" t="n">
        <v>0</v>
      </c>
      <c r="E91" s="6" t="s">
        <v>50</v>
      </c>
    </row>
    <row r="92" customFormat="false" ht="15" hidden="false" customHeight="false" outlineLevel="0" collapsed="false">
      <c r="A92" s="2" t="s">
        <v>106</v>
      </c>
      <c r="B92" s="3" t="n">
        <v>54730</v>
      </c>
      <c r="C92" s="4" t="n">
        <v>1059.52</v>
      </c>
      <c r="D92" s="5" t="n">
        <v>0</v>
      </c>
      <c r="E92" s="6" t="s">
        <v>107</v>
      </c>
    </row>
    <row r="93" customFormat="false" ht="15" hidden="false" customHeight="false" outlineLevel="0" collapsed="false">
      <c r="A93" s="2" t="s">
        <v>108</v>
      </c>
      <c r="B93" s="3" t="n">
        <v>61210</v>
      </c>
      <c r="C93" s="4" t="n">
        <v>1053.07</v>
      </c>
      <c r="D93" s="5" t="n">
        <v>0</v>
      </c>
      <c r="E93" s="6"/>
    </row>
    <row r="94" customFormat="false" ht="15" hidden="false" customHeight="false" outlineLevel="0" collapsed="false">
      <c r="A94" s="2" t="s">
        <v>109</v>
      </c>
      <c r="B94" s="3" t="n">
        <v>43280</v>
      </c>
      <c r="C94" s="4" t="n">
        <v>1072.98</v>
      </c>
      <c r="D94" s="5" t="n">
        <v>0</v>
      </c>
      <c r="E94" s="6" t="s">
        <v>110</v>
      </c>
    </row>
    <row r="95" customFormat="false" ht="15" hidden="false" customHeight="false" outlineLevel="0" collapsed="false">
      <c r="A95" s="2" t="s">
        <v>111</v>
      </c>
      <c r="B95" s="3" t="n">
        <v>54200</v>
      </c>
      <c r="C95" s="4" t="n">
        <v>1067.32</v>
      </c>
      <c r="D95" s="5" t="n">
        <v>0</v>
      </c>
      <c r="E95" s="6"/>
    </row>
    <row r="96" customFormat="false" ht="15" hidden="false" customHeight="false" outlineLevel="0" collapsed="false">
      <c r="A96" s="2" t="s">
        <v>112</v>
      </c>
      <c r="B96" s="3" t="n">
        <v>55200</v>
      </c>
      <c r="C96" s="4" t="n">
        <v>1072.25</v>
      </c>
      <c r="D96" s="5" t="n">
        <v>0</v>
      </c>
      <c r="E96" s="6"/>
    </row>
    <row r="97" customFormat="false" ht="15" hidden="false" customHeight="false" outlineLevel="0" collapsed="false">
      <c r="A97" s="2" t="s">
        <v>113</v>
      </c>
      <c r="B97" s="3" t="n">
        <v>61450</v>
      </c>
      <c r="C97" s="4" t="n">
        <v>1070.87</v>
      </c>
      <c r="D97" s="5" t="n">
        <v>0</v>
      </c>
      <c r="E97" s="6"/>
    </row>
    <row r="98" customFormat="false" ht="15" hidden="false" customHeight="false" outlineLevel="0" collapsed="false">
      <c r="A98" s="2" t="s">
        <v>114</v>
      </c>
      <c r="B98" s="3" t="n">
        <v>58570</v>
      </c>
      <c r="C98" s="4" t="n">
        <v>1049.2</v>
      </c>
      <c r="D98" s="5" t="n">
        <v>0</v>
      </c>
      <c r="E98" s="6"/>
    </row>
    <row r="99" customFormat="false" ht="15" hidden="false" customHeight="false" outlineLevel="0" collapsed="false">
      <c r="A99" s="2" t="s">
        <v>115</v>
      </c>
      <c r="B99" s="3" t="n">
        <v>55950</v>
      </c>
      <c r="C99" s="4" t="n">
        <v>1063.38</v>
      </c>
      <c r="D99" s="5" t="n">
        <v>0</v>
      </c>
      <c r="E99" s="6"/>
    </row>
    <row r="100" customFormat="false" ht="15" hidden="false" customHeight="false" outlineLevel="0" collapsed="false">
      <c r="A100" s="2" t="s">
        <v>116</v>
      </c>
      <c r="B100" s="3" t="n">
        <v>80730</v>
      </c>
      <c r="C100" s="4" t="n">
        <v>1005.9</v>
      </c>
      <c r="D100" s="5" t="n">
        <v>1</v>
      </c>
      <c r="E100" s="6" t="s">
        <v>60</v>
      </c>
    </row>
    <row r="101" customFormat="false" ht="15" hidden="false" customHeight="false" outlineLevel="0" collapsed="false">
      <c r="A101" s="2" t="s">
        <v>117</v>
      </c>
      <c r="B101" s="3" t="n">
        <v>71960</v>
      </c>
      <c r="C101" s="4" t="n">
        <v>1060.69</v>
      </c>
      <c r="D101" s="5" t="n">
        <v>0</v>
      </c>
      <c r="E101" s="6" t="s">
        <v>62</v>
      </c>
    </row>
    <row r="102" customFormat="false" ht="15" hidden="false" customHeight="false" outlineLevel="0" collapsed="false">
      <c r="A102" s="2" t="s">
        <v>118</v>
      </c>
      <c r="B102" s="3" t="n">
        <v>54880</v>
      </c>
      <c r="C102" s="4" t="n">
        <v>1071</v>
      </c>
      <c r="D102" s="5" t="n">
        <v>0</v>
      </c>
      <c r="E102" s="6"/>
    </row>
    <row r="103" customFormat="false" ht="15" hidden="false" customHeight="false" outlineLevel="0" collapsed="false">
      <c r="A103" s="2" t="s">
        <v>119</v>
      </c>
      <c r="B103" s="3" t="n">
        <v>53600</v>
      </c>
      <c r="C103" s="4" t="n">
        <v>1088.28</v>
      </c>
      <c r="D103" s="5" t="n">
        <v>0</v>
      </c>
      <c r="E103" s="6"/>
    </row>
    <row r="104" customFormat="false" ht="15" hidden="false" customHeight="false" outlineLevel="0" collapsed="false">
      <c r="A104" s="2" t="s">
        <v>120</v>
      </c>
      <c r="B104" s="3" t="n">
        <v>57030</v>
      </c>
      <c r="C104" s="4" t="n">
        <v>1093.16</v>
      </c>
      <c r="D104" s="5" t="n">
        <v>0</v>
      </c>
      <c r="E104" s="6"/>
    </row>
    <row r="105" customFormat="false" ht="15" hidden="false" customHeight="false" outlineLevel="0" collapsed="false">
      <c r="A105" s="2" t="s">
        <v>121</v>
      </c>
      <c r="B105" s="3" t="n">
        <v>54470</v>
      </c>
      <c r="C105" s="4" t="n">
        <v>1072.48</v>
      </c>
      <c r="D105" s="5" t="n">
        <v>0</v>
      </c>
      <c r="E105" s="6"/>
    </row>
  </sheetData>
  <autoFilter ref="A1:E1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7" t="s">
        <v>122</v>
      </c>
      <c r="B1" s="7"/>
    </row>
    <row r="3" customFormat="false" ht="15" hidden="false" customHeight="false" outlineLevel="0" collapsed="false">
      <c r="A3" s="8" t="s">
        <v>123</v>
      </c>
      <c r="B3" s="9" t="n">
        <f aca="false">COUNTA(Weekly_Demand_Data!A2:A105)</f>
        <v>104</v>
      </c>
    </row>
    <row r="4" customFormat="false" ht="15" hidden="false" customHeight="false" outlineLevel="0" collapsed="false">
      <c r="A4" s="8" t="s">
        <v>124</v>
      </c>
      <c r="B4" s="10" t="str">
        <f aca="false">Weekly_Demand_Data!A2</f>
        <v>2024-07-01</v>
      </c>
    </row>
    <row r="5" customFormat="false" ht="15" hidden="false" customHeight="false" outlineLevel="0" collapsed="false">
      <c r="A5" s="8" t="s">
        <v>125</v>
      </c>
      <c r="B5" s="10" t="str">
        <f aca="false">Weekly_Demand_Data!A105</f>
        <v>2026-06-22</v>
      </c>
    </row>
    <row r="6" customFormat="false" ht="15" hidden="false" customHeight="false" outlineLevel="0" collapsed="false">
      <c r="A6" s="8" t="s">
        <v>126</v>
      </c>
      <c r="B6" s="9" t="n">
        <f aca="false">AVERAGE(Weekly_Demand_Data!B2:B105)</f>
        <v>55773.4615384615</v>
      </c>
    </row>
    <row r="7" customFormat="false" ht="15" hidden="false" customHeight="false" outlineLevel="0" collapsed="false">
      <c r="A7" s="8" t="s">
        <v>127</v>
      </c>
      <c r="B7" s="9" t="n">
        <f aca="false">MIN(Weekly_Demand_Data!B2:B105)</f>
        <v>36470</v>
      </c>
    </row>
    <row r="8" customFormat="false" ht="15" hidden="false" customHeight="false" outlineLevel="0" collapsed="false">
      <c r="A8" s="8" t="s">
        <v>128</v>
      </c>
      <c r="B8" s="9" t="n">
        <f aca="false">MAX(Weekly_Demand_Data!B2:B105)</f>
        <v>87640</v>
      </c>
    </row>
    <row r="9" customFormat="false" ht="15" hidden="false" customHeight="false" outlineLevel="0" collapsed="false">
      <c r="A9" s="8" t="s">
        <v>129</v>
      </c>
      <c r="B9" s="9" t="n">
        <f aca="false">SUM(Weekly_Demand_Data!B2:B105)</f>
        <v>5800440</v>
      </c>
    </row>
    <row r="10" customFormat="false" ht="15" hidden="false" customHeight="false" outlineLevel="0" collapsed="false">
      <c r="A10" s="8" t="s">
        <v>130</v>
      </c>
      <c r="B10" s="11" t="n">
        <f aca="false">AVERAGE(Weekly_Demand_Data!C2:C105)</f>
        <v>1008.56009615385</v>
      </c>
    </row>
    <row r="11" customFormat="false" ht="15" hidden="false" customHeight="false" outlineLevel="0" collapsed="false">
      <c r="A11" s="8" t="s">
        <v>131</v>
      </c>
      <c r="B11" s="11" t="n">
        <f aca="false">MIN(Weekly_Demand_Data!C2:C105)</f>
        <v>904.33</v>
      </c>
    </row>
    <row r="12" customFormat="false" ht="15" hidden="false" customHeight="false" outlineLevel="0" collapsed="false">
      <c r="A12" s="8" t="s">
        <v>132</v>
      </c>
      <c r="B12" s="11" t="n">
        <f aca="false">MAX(Weekly_Demand_Data!C2:C105)</f>
        <v>1093.42</v>
      </c>
    </row>
    <row r="13" customFormat="false" ht="15" hidden="false" customHeight="false" outlineLevel="0" collapsed="false">
      <c r="A13" s="8" t="s">
        <v>133</v>
      </c>
      <c r="B13" s="9" t="n">
        <f aca="false">SUM(Weekly_Demand_Data!D2:D105)</f>
        <v>12</v>
      </c>
    </row>
    <row r="14" customFormat="false" ht="15" hidden="false" customHeight="false" outlineLevel="0" collapsed="false">
      <c r="A14" s="8" t="s">
        <v>134</v>
      </c>
      <c r="B14" s="9" t="n">
        <f aca="false">SUMPRODUCT(Weekly_Demand_Data!B2:B105,Weekly_Demand_Data!C2:C105)/2</f>
        <v>2928479416.35</v>
      </c>
    </row>
    <row r="16" customFormat="false" ht="60" hidden="false" customHeight="true" outlineLevel="0" collapsed="false">
      <c r="A16" s="12" t="s">
        <v>135</v>
      </c>
      <c r="B16" s="12"/>
    </row>
  </sheetData>
  <mergeCells count="2">
    <mergeCell ref="A1:B1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2026-09-13T11:45:02Z</dcterms:created>
  <dc:creator>openpyxl</dc:creator>
  <dc:description/>
  <dc:language>en-US</dc:language>
  <cp:lastModifiedBy/>
  <dcterms:modified xsi:type="dcterms:W3CDTF">2026-09-13T11:45:02Z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