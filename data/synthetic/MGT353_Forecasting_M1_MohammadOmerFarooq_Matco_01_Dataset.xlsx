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398a4a90dd94a33" /></Relationships>
</file>

<file path=xl/workbook.xml><?xml version="1.0" encoding="utf-8"?>
<x:workbook xmlns:x="http://schemas.openxmlformats.org/spreadsheetml/2006/main">
  <x:sheets>
    <x:sheet xmlns:r="http://schemas.openxmlformats.org/officeDocument/2006/relationships" name="Dataset" sheetId="1" r:id="Rb59c957f39a74b07"/>
    <x:sheet xmlns:r="http://schemas.openxmlformats.org/officeDocument/2006/relationships" name="Dictionary" sheetId="2" r:id="Rd558c94aaf6444d3"/>
    <x:sheet xmlns:r="http://schemas.openxmlformats.org/officeDocument/2006/relationships" name="Assumptions" sheetId="3" r:id="Rc13ab791e7ed4c2f"/>
    <x:sheet xmlns:r="http://schemas.openxmlformats.org/officeDocument/2006/relationships" name="Synthesis Prompt" sheetId="4" r:id="R7472a93891bf4ffd"/>
    <x:sheet xmlns:r="http://schemas.openxmlformats.org/officeDocument/2006/relationships" name="Metric Verification" sheetId="5" r:id="Rfd302407c3c54989"/>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dd-mmm-yyyy"/>
    <x:numFmt numFmtId="201" formatCode="#,##0"/>
    <x:numFmt numFmtId="202" formatCode="0%"/>
    <x:numFmt numFmtId="203" formatCode="#,##0.0000"/>
    <x:numFmt numFmtId="204" formatCode="0.0000%"/>
  </x:numFmts>
  <x:fonts count="6">
    <x:font>
      <x:sz val="11"/>
      <x:name val="Carlito"/>
    </x:font>
    <x:font>
      <x:sz val="10"/>
      <x:color rgb="FF1E2D42"/>
      <x:name val="Arial"/>
    </x:font>
    <x:font>
      <x:i/>
      <x:sz val="10"/>
      <x:color rgb="FF80631E"/>
      <x:name val="Arial"/>
    </x:font>
    <x:font>
      <x:b/>
      <x:sz val="13"/>
      <x:color rgb="FF1E2D42"/>
      <x:name val="Arial"/>
    </x:font>
    <x:font>
      <x:b/>
      <x:sz val="10"/>
      <x:color rgb="FFFFFFFF"/>
      <x:name val="Arial"/>
    </x:font>
    <x:font>
      <x:b/>
      <x:sz val="14"/>
      <x:color rgb="FF1E2D42"/>
      <x:name val="Arial"/>
    </x:font>
  </x:fonts>
  <x:fills count="4">
    <x:fill>
      <x:patternFill patternType="none"/>
    </x:fill>
    <x:fill>
      <x:patternFill patternType="gray125"/>
    </x:fill>
    <x:fill>
      <x:patternFill patternType="solid">
        <x:fgColor rgb="FFF6F1E6"/>
      </x:patternFill>
    </x:fill>
    <x:fill>
      <x:patternFill patternType="solid">
        <x:fgColor rgb="FF1E2D42"/>
      </x:patternFill>
    </x:fill>
  </x:fills>
  <x:borders count="1">
    <x:border>
      <x:left/>
      <x:right/>
      <x:top/>
      <x:bottom/>
      <x:diagonal/>
    </x:border>
  </x:borders>
  <x:cellStyleXfs count="1">
    <x:xf numFmtId="0" fontId="0" fillId="0" borderId="0"/>
  </x:cellStyleXfs>
  <x:cellXfs count="18">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3" fillId="0" borderId="0" xfId="0" applyNumberFormat="1" applyFont="1" applyFill="1" applyBorder="1" applyAlignment="1">
      <x:alignment vertical="center"/>
    </x:xf>
    <x:xf numFmtId="0" fontId="1" fillId="3" borderId="0" xfId="0" applyNumberFormat="1" applyFont="1" applyFill="1" applyBorder="1" applyAlignment="1">
      <x:alignment vertical="center"/>
    </x:xf>
    <x:xf numFmtId="0" fontId="4" fillId="3" borderId="0" xfId="0" applyNumberFormat="1" applyFont="1" applyFill="1" applyBorder="1" applyAlignment="1">
      <x:alignment vertical="center"/>
    </x:xf>
    <x:xf numFmtId="0" fontId="4" fillId="3" borderId="0" xfId="0" applyNumberFormat="1" applyFont="1" applyFill="1" applyBorder="1" applyAlignment="1">
      <x:alignment vertical="center" wrapText="1"/>
    </x:xf>
    <x:xf numFmtId="200" fontId="1"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202" fontId="1" fillId="0" borderId="0" xfId="0" applyNumberFormat="1" applyFont="1" applyFill="1" applyBorder="1" applyAlignment="1">
      <x:alignment vertical="center"/>
    </x:xf>
    <x:xf numFmtId="0" fontId="5"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203" fontId="1" fillId="0" borderId="0" xfId="0" applyNumberFormat="1" applyFont="1" applyFill="1" applyBorder="1" applyAlignment="1">
      <x:alignment vertical="center"/>
    </x:xf>
    <x:xf numFmtId="204" fontId="1" fillId="0" borderId="0"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b1819b3c78c4e8d" /><Relationship Type="http://schemas.openxmlformats.org/officeDocument/2006/relationships/theme" Target="/xl/theme/theme1.xml" Id="R55f7d741d1774dcd" /><Relationship Type="http://schemas.openxmlformats.org/officeDocument/2006/relationships/sharedStrings" Target="/xl/sharedStrings.xml" Id="R1a3297117718448e" /><Relationship Type="http://schemas.openxmlformats.org/officeDocument/2006/relationships/worksheet" Target="/xl/worksheets/sheet1.xml" Id="Rb59c957f39a74b07" /><Relationship Type="http://schemas.openxmlformats.org/officeDocument/2006/relationships/worksheet" Target="/xl/worksheets/sheet2.xml" Id="Rd558c94aaf6444d3" /><Relationship Type="http://schemas.openxmlformats.org/officeDocument/2006/relationships/worksheet" Target="/xl/worksheets/sheet3.xml" Id="Rc13ab791e7ed4c2f" /><Relationship Type="http://schemas.openxmlformats.org/officeDocument/2006/relationships/worksheet" Target="/xl/worksheets/sheet4.xml" Id="R7472a93891bf4ffd" /><Relationship Type="http://schemas.openxmlformats.org/officeDocument/2006/relationships/worksheet" Target="/xl/worksheets/sheet5.xml" Id="Rfd302407c3c5498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7" hidden="0" customWidth="1"/>
    <x:col min="2" max="2" width="38" hidden="0" customWidth="1"/>
    <x:col min="3" max="3" width="27"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 min="10" max="10" width="33" hidden="0" customWidth="1"/>
    <x:col min="11" max="11" width="17" hidden="0" customWidth="1"/>
    <x:col min="12" max="12" width="17" hidden="0" customWidth="1"/>
    <x:col min="13" max="13" width="40" hidden="0" customWidth="1"/>
    <x:col min="14" max="14" width="14" hidden="0" customWidth="1"/>
    <x:col min="15" max="15" width="96" hidden="0" customWidth="1"/>
  </x:cols>
  <x:sheetData>
    <x:row r="1" ht="22" customHeight="1">
      <x:c r="A1" s="5" t="str">
        <x:v>Company-Calibrated Synthetic Dataset for Academic Analysis — illustrative figures, calibrated to Matco Foods Limited's disclosed scale, not actual company records.</x:v>
      </x:c>
      <x:c r="B1" s="5"/>
      <x:c r="C1" s="5"/>
      <x:c r="D1" s="5"/>
      <x:c r="E1" s="5"/>
      <x:c r="F1" s="5"/>
      <x:c r="G1" s="5"/>
      <x:c r="H1" s="5"/>
      <x:c r="I1" s="5"/>
      <x:c r="J1" s="2"/>
      <x:c r="K1" s="2"/>
      <x:c r="L1" s="2"/>
      <x:c r="M1" s="2"/>
      <x:c r="N1" s="2"/>
      <x:c r="O1" s="2"/>
    </x:row>
    <x:row r="2" ht="22" customHeight="1">
      <x:c r="A2" s="5"/>
      <x:c r="B2" s="5"/>
      <x:c r="C2" s="5"/>
      <x:c r="D2" s="5"/>
      <x:c r="E2" s="5"/>
      <x:c r="F2" s="5"/>
      <x:c r="G2" s="5"/>
      <x:c r="H2" s="5"/>
      <x:c r="I2" s="5"/>
      <x:c r="J2" s="2"/>
      <x:c r="K2" s="2"/>
      <x:c r="L2" s="2"/>
      <x:c r="M2" s="2"/>
      <x:c r="N2" s="2"/>
      <x:c r="O2" s="2"/>
    </x:row>
    <x:row r="3" ht="22" customHeight="1">
      <x:c r="A3" s="2"/>
      <x:c r="B3" s="2"/>
      <x:c r="C3" s="2"/>
      <x:c r="D3" s="2"/>
      <x:c r="E3" s="2"/>
      <x:c r="F3" s="2"/>
      <x:c r="G3" s="2"/>
      <x:c r="H3" s="2"/>
      <x:c r="I3" s="2"/>
      <x:c r="J3" s="2"/>
      <x:c r="K3" s="2"/>
      <x:c r="L3" s="2"/>
      <x:c r="M3" s="2"/>
      <x:c r="N3" s="2"/>
      <x:c r="O3" s="2"/>
    </x:row>
    <x:row r="4" ht="22" customHeight="1">
      <x:c r="A4" s="6" t="str">
        <x:v>Frozen weekly dataset. One unit is one 5 kg pack. 144 training weeks and 12 holdout weeks.</x:v>
      </x:c>
      <x:c r="B4" s="2"/>
      <x:c r="C4" s="2"/>
      <x:c r="D4" s="2"/>
      <x:c r="E4" s="2"/>
      <x:c r="F4" s="2"/>
      <x:c r="G4" s="2"/>
      <x:c r="H4" s="2"/>
      <x:c r="I4" s="2"/>
      <x:c r="J4" s="2"/>
      <x:c r="K4" s="2"/>
      <x:c r="L4" s="2"/>
      <x:c r="M4" s="2"/>
      <x:c r="N4" s="2"/>
      <x:c r="O4" s="2"/>
    </x:row>
    <x:row r="5" ht="32" customHeight="1">
      <x:c r="A5" s="9" t="str">
        <x:v>Week_Start_Date</x:v>
      </x:c>
      <x:c r="B5" s="9" t="str">
        <x:v>Product_or_Category</x:v>
      </x:c>
      <x:c r="C5" s="9" t="str">
        <x:v>Market_Channel</x:v>
      </x:c>
      <x:c r="D5" s="9" t="str">
        <x:v>Actual_Demand</x:v>
      </x:c>
      <x:c r="E5" s="9" t="str">
        <x:v>Historical_Forecast</x:v>
      </x:c>
      <x:c r="F5" s="9" t="str">
        <x:v>Price</x:v>
      </x:c>
      <x:c r="G5" s="9" t="str">
        <x:v>Promo_Flag</x:v>
      </x:c>
      <x:c r="H5" s="9" t="str">
        <x:v>Promo_Depth</x:v>
      </x:c>
      <x:c r="I5" s="9" t="str">
        <x:v>Event_Flag</x:v>
      </x:c>
      <x:c r="J5" s="9" t="str">
        <x:v>Event_Name</x:v>
      </x:c>
      <x:c r="K5" s="9" t="str">
        <x:v>Distribution_Points</x:v>
      </x:c>
      <x:c r="L5" s="9" t="str">
        <x:v>Stockout_Flag</x:v>
      </x:c>
      <x:c r="M5" s="9" t="str">
        <x:v>Exceptional_Event</x:v>
      </x:c>
      <x:c r="N5" s="9" t="str">
        <x:v>Data_Split</x:v>
      </x:c>
      <x:c r="O5" s="9" t="str">
        <x:v>Dataset_Label</x:v>
      </x:c>
    </x:row>
    <x:row r="6" ht="22" customHeight="1">
      <x:c r="A6" s="10" t="d">
        <x:v>2023-10-02T00:00:00.000Z</x:v>
      </x:c>
      <x:c r="B6" s="2" t="str">
        <x:v>Falak Extreme Basmati Rice 5 kg</x:v>
      </x:c>
      <x:c r="C6" s="2" t="str">
        <x:v>Pakistan domestic retail</x:v>
      </x:c>
      <x:c r="D6" s="11" t="n">
        <x:v>5407</x:v>
      </x:c>
      <x:c r="E6" s="11" t="n">
        <x:v>5000</x:v>
      </x:c>
      <x:c r="F6" s="11" t="n">
        <x:v>2400</x:v>
      </x:c>
      <x:c r="G6" s="11" t="n">
        <x:v>0</x:v>
      </x:c>
      <x:c r="H6" s="12" t="n">
        <x:v>0</x:v>
      </x:c>
      <x:c r="I6" s="11" t="n">
        <x:v>0</x:v>
      </x:c>
      <x:c r="J6" s="11" t="str"/>
      <x:c r="K6" s="11" t="n">
        <x:v>1021</x:v>
      </x:c>
      <x:c r="L6" s="11" t="n">
        <x:v>0</x:v>
      </x:c>
      <x:c r="M6" s="2" t="str"/>
      <x:c r="N6" s="2" t="str">
        <x:v>Train</x:v>
      </x:c>
      <x:c r="O6" s="2" t="str">
        <x:v>Company-Calibrated Synthetic Dataset for Academic Analysis — illustrative figures, calibrated to Matco Foods Limited's disclosed scale, not actual company records.</x:v>
      </x:c>
    </x:row>
    <x:row r="7" ht="22" customHeight="1">
      <x:c r="A7" s="10" t="d">
        <x:v>2023-10-09T00:00:00.000Z</x:v>
      </x:c>
      <x:c r="B7" s="2" t="str">
        <x:v>Falak Extreme Basmati Rice 5 kg</x:v>
      </x:c>
      <x:c r="C7" s="2" t="str">
        <x:v>Pakistan domestic retail</x:v>
      </x:c>
      <x:c r="D7" s="11" t="n">
        <x:v>5015</x:v>
      </x:c>
      <x:c r="E7" s="11" t="n">
        <x:v>5115</x:v>
      </x:c>
      <x:c r="F7" s="11" t="n">
        <x:v>2400</x:v>
      </x:c>
      <x:c r="G7" s="11" t="n">
        <x:v>0</x:v>
      </x:c>
      <x:c r="H7" s="12" t="n">
        <x:v>0</x:v>
      </x:c>
      <x:c r="I7" s="11" t="n">
        <x:v>0</x:v>
      </x:c>
      <x:c r="J7" s="11" t="str"/>
      <x:c r="K7" s="11" t="n">
        <x:v>1022</x:v>
      </x:c>
      <x:c r="L7" s="11" t="n">
        <x:v>0</x:v>
      </x:c>
      <x:c r="M7" s="2" t="str"/>
      <x:c r="N7" s="2" t="str">
        <x:v>Train</x:v>
      </x:c>
      <x:c r="O7" s="2" t="str">
        <x:v>Company-Calibrated Synthetic Dataset for Academic Analysis — illustrative figures, calibrated to Matco Foods Limited's disclosed scale, not actual company records.</x:v>
      </x:c>
    </x:row>
    <x:row r="8" ht="22" customHeight="1">
      <x:c r="A8" s="10" t="d">
        <x:v>2023-10-16T00:00:00.000Z</x:v>
      </x:c>
      <x:c r="B8" s="2" t="str">
        <x:v>Falak Extreme Basmati Rice 5 kg</x:v>
      </x:c>
      <x:c r="C8" s="2" t="str">
        <x:v>Pakistan domestic retail</x:v>
      </x:c>
      <x:c r="D8" s="11" t="n">
        <x:v>6458</x:v>
      </x:c>
      <x:c r="E8" s="11" t="n">
        <x:v>5540</x:v>
      </x:c>
      <x:c r="F8" s="11" t="n">
        <x:v>2400</x:v>
      </x:c>
      <x:c r="G8" s="11" t="n">
        <x:v>1</x:v>
      </x:c>
      <x:c r="H8" s="12" t="n">
        <x:v>0.1</x:v>
      </x:c>
      <x:c r="I8" s="11" t="n">
        <x:v>0</x:v>
      </x:c>
      <x:c r="J8" s="11" t="str"/>
      <x:c r="K8" s="11" t="n">
        <x:v>1014</x:v>
      </x:c>
      <x:c r="L8" s="11" t="n">
        <x:v>0</x:v>
      </x:c>
      <x:c r="M8" s="2" t="str"/>
      <x:c r="N8" s="2" t="str">
        <x:v>Train</x:v>
      </x:c>
      <x:c r="O8" s="2" t="str">
        <x:v>Company-Calibrated Synthetic Dataset for Academic Analysis — illustrative figures, calibrated to Matco Foods Limited's disclosed scale, not actual company records.</x:v>
      </x:c>
    </x:row>
    <x:row r="9" ht="22" customHeight="1">
      <x:c r="A9" s="10" t="d">
        <x:v>2023-10-23T00:00:00.000Z</x:v>
      </x:c>
      <x:c r="B9" s="2" t="str">
        <x:v>Falak Extreme Basmati Rice 5 kg</x:v>
      </x:c>
      <x:c r="C9" s="2" t="str">
        <x:v>Pakistan domestic retail</x:v>
      </x:c>
      <x:c r="D9" s="11" t="n">
        <x:v>4822</x:v>
      </x:c>
      <x:c r="E9" s="11" t="n">
        <x:v>5098</x:v>
      </x:c>
      <x:c r="F9" s="11" t="n">
        <x:v>2400</x:v>
      </x:c>
      <x:c r="G9" s="11" t="n">
        <x:v>0</x:v>
      </x:c>
      <x:c r="H9" s="12" t="n">
        <x:v>0</x:v>
      </x:c>
      <x:c r="I9" s="11" t="n">
        <x:v>0</x:v>
      </x:c>
      <x:c r="J9" s="11" t="str"/>
      <x:c r="K9" s="11" t="n">
        <x:v>1008</x:v>
      </x:c>
      <x:c r="L9" s="11" t="n">
        <x:v>0</x:v>
      </x:c>
      <x:c r="M9" s="2" t="str"/>
      <x:c r="N9" s="2" t="str">
        <x:v>Train</x:v>
      </x:c>
      <x:c r="O9" s="2" t="str">
        <x:v>Company-Calibrated Synthetic Dataset for Academic Analysis — illustrative figures, calibrated to Matco Foods Limited's disclosed scale, not actual company records.</x:v>
      </x:c>
    </x:row>
    <x:row r="10" ht="22" customHeight="1">
      <x:c r="A10" s="10" t="d">
        <x:v>2023-10-30T00:00:00.000Z</x:v>
      </x:c>
      <x:c r="B10" s="2" t="str">
        <x:v>Falak Extreme Basmati Rice 5 kg</x:v>
      </x:c>
      <x:c r="C10" s="2" t="str">
        <x:v>Pakistan domestic retail</x:v>
      </x:c>
      <x:c r="D10" s="11" t="n">
        <x:v>5437</x:v>
      </x:c>
      <x:c r="E10" s="11" t="n">
        <x:v>5077</x:v>
      </x:c>
      <x:c r="F10" s="11" t="n">
        <x:v>2400</x:v>
      </x:c>
      <x:c r="G10" s="11" t="n">
        <x:v>0</x:v>
      </x:c>
      <x:c r="H10" s="12" t="n">
        <x:v>0</x:v>
      </x:c>
      <x:c r="I10" s="11" t="n">
        <x:v>0</x:v>
      </x:c>
      <x:c r="J10" s="11" t="str"/>
      <x:c r="K10" s="11" t="n">
        <x:v>1028</x:v>
      </x:c>
      <x:c r="L10" s="11" t="n">
        <x:v>0</x:v>
      </x:c>
      <x:c r="M10" s="2" t="str"/>
      <x:c r="N10" s="2" t="str">
        <x:v>Train</x:v>
      </x:c>
      <x:c r="O10" s="2" t="str">
        <x:v>Company-Calibrated Synthetic Dataset for Academic Analysis — illustrative figures, calibrated to Matco Foods Limited's disclosed scale, not actual company records.</x:v>
      </x:c>
    </x:row>
    <x:row r="11" ht="22" customHeight="1">
      <x:c r="A11" s="10" t="d">
        <x:v>2023-11-06T00:00:00.000Z</x:v>
      </x:c>
      <x:c r="B11" s="2" t="str">
        <x:v>Falak Extreme Basmati Rice 5 kg</x:v>
      </x:c>
      <x:c r="C11" s="2" t="str">
        <x:v>Pakistan domestic retail</x:v>
      </x:c>
      <x:c r="D11" s="11" t="n">
        <x:v>6526</x:v>
      </x:c>
      <x:c r="E11" s="11" t="n">
        <x:v>5602</x:v>
      </x:c>
      <x:c r="F11" s="11" t="n">
        <x:v>2400</x:v>
      </x:c>
      <x:c r="G11" s="11" t="n">
        <x:v>1</x:v>
      </x:c>
      <x:c r="H11" s="12" t="n">
        <x:v>0.12</x:v>
      </x:c>
      <x:c r="I11" s="11" t="n">
        <x:v>0</x:v>
      </x:c>
      <x:c r="J11" s="11" t="str"/>
      <x:c r="K11" s="11" t="n">
        <x:v>1034</x:v>
      </x:c>
      <x:c r="L11" s="11" t="n">
        <x:v>0</x:v>
      </x:c>
      <x:c r="M11" s="2" t="str"/>
      <x:c r="N11" s="2" t="str">
        <x:v>Train</x:v>
      </x:c>
      <x:c r="O11" s="2" t="str">
        <x:v>Company-Calibrated Synthetic Dataset for Academic Analysis — illustrative figures, calibrated to Matco Foods Limited's disclosed scale, not actual company records.</x:v>
      </x:c>
    </x:row>
    <x:row r="12" ht="22" customHeight="1">
      <x:c r="A12" s="10" t="d">
        <x:v>2023-11-13T00:00:00.000Z</x:v>
      </x:c>
      <x:c r="B12" s="2" t="str">
        <x:v>Falak Extreme Basmati Rice 5 kg</x:v>
      </x:c>
      <x:c r="C12" s="2" t="str">
        <x:v>Pakistan domestic retail</x:v>
      </x:c>
      <x:c r="D12" s="11" t="n">
        <x:v>5056</x:v>
      </x:c>
      <x:c r="E12" s="11" t="n">
        <x:v>5225</x:v>
      </x:c>
      <x:c r="F12" s="11" t="n">
        <x:v>2400</x:v>
      </x:c>
      <x:c r="G12" s="11" t="n">
        <x:v>0</x:v>
      </x:c>
      <x:c r="H12" s="12" t="n">
        <x:v>0</x:v>
      </x:c>
      <x:c r="I12" s="11" t="n">
        <x:v>0</x:v>
      </x:c>
      <x:c r="J12" s="11" t="str"/>
      <x:c r="K12" s="11" t="n">
        <x:v>1024</x:v>
      </x:c>
      <x:c r="L12" s="11" t="n">
        <x:v>0</x:v>
      </x:c>
      <x:c r="M12" s="2" t="str"/>
      <x:c r="N12" s="2" t="str">
        <x:v>Train</x:v>
      </x:c>
      <x:c r="O12" s="2" t="str">
        <x:v>Company-Calibrated Synthetic Dataset for Academic Analysis — illustrative figures, calibrated to Matco Foods Limited's disclosed scale, not actual company records.</x:v>
      </x:c>
    </x:row>
    <x:row r="13" ht="22" customHeight="1">
      <x:c r="A13" s="10" t="d">
        <x:v>2023-11-20T00:00:00.000Z</x:v>
      </x:c>
      <x:c r="B13" s="2" t="str">
        <x:v>Falak Extreme Basmati Rice 5 kg</x:v>
      </x:c>
      <x:c r="C13" s="2" t="str">
        <x:v>Pakistan domestic retail</x:v>
      </x:c>
      <x:c r="D13" s="11" t="n">
        <x:v>4477</x:v>
      </x:c>
      <x:c r="E13" s="11" t="n">
        <x:v>5182</x:v>
      </x:c>
      <x:c r="F13" s="11" t="n">
        <x:v>2400</x:v>
      </x:c>
      <x:c r="G13" s="11" t="n">
        <x:v>0</x:v>
      </x:c>
      <x:c r="H13" s="12" t="n">
        <x:v>0</x:v>
      </x:c>
      <x:c r="I13" s="11" t="n">
        <x:v>0</x:v>
      </x:c>
      <x:c r="J13" s="11" t="str"/>
      <x:c r="K13" s="11" t="n">
        <x:v>1031</x:v>
      </x:c>
      <x:c r="L13" s="11" t="n">
        <x:v>0</x:v>
      </x:c>
      <x:c r="M13" s="2" t="str"/>
      <x:c r="N13" s="2" t="str">
        <x:v>Train</x:v>
      </x:c>
      <x:c r="O13" s="2" t="str">
        <x:v>Company-Calibrated Synthetic Dataset for Academic Analysis — illustrative figures, calibrated to Matco Foods Limited's disclosed scale, not actual company records.</x:v>
      </x:c>
    </x:row>
    <x:row r="14" ht="22" customHeight="1">
      <x:c r="A14" s="10" t="d">
        <x:v>2023-11-27T00:00:00.000Z</x:v>
      </x:c>
      <x:c r="B14" s="2" t="str">
        <x:v>Falak Extreme Basmati Rice 5 kg</x:v>
      </x:c>
      <x:c r="C14" s="2" t="str">
        <x:v>Pakistan domestic retail</x:v>
      </x:c>
      <x:c r="D14" s="11" t="n">
        <x:v>5429</x:v>
      </x:c>
      <x:c r="E14" s="11" t="n">
        <x:v>5225</x:v>
      </x:c>
      <x:c r="F14" s="11" t="n">
        <x:v>2400</x:v>
      </x:c>
      <x:c r="G14" s="11" t="n">
        <x:v>0</x:v>
      </x:c>
      <x:c r="H14" s="12" t="n">
        <x:v>0</x:v>
      </x:c>
      <x:c r="I14" s="11" t="n">
        <x:v>0</x:v>
      </x:c>
      <x:c r="J14" s="11" t="str"/>
      <x:c r="K14" s="11" t="n">
        <x:v>1026</x:v>
      </x:c>
      <x:c r="L14" s="11" t="n">
        <x:v>0</x:v>
      </x:c>
      <x:c r="M14" s="2" t="str"/>
      <x:c r="N14" s="2" t="str">
        <x:v>Train</x:v>
      </x:c>
      <x:c r="O14" s="2" t="str">
        <x:v>Company-Calibrated Synthetic Dataset for Academic Analysis — illustrative figures, calibrated to Matco Foods Limited's disclosed scale, not actual company records.</x:v>
      </x:c>
    </x:row>
    <x:row r="15" ht="22" customHeight="1">
      <x:c r="A15" s="10" t="d">
        <x:v>2023-12-04T00:00:00.000Z</x:v>
      </x:c>
      <x:c r="B15" s="2" t="str">
        <x:v>Falak Extreme Basmati Rice 5 kg</x:v>
      </x:c>
      <x:c r="C15" s="2" t="str">
        <x:v>Pakistan domestic retail</x:v>
      </x:c>
      <x:c r="D15" s="11" t="n">
        <x:v>8006</x:v>
      </x:c>
      <x:c r="E15" s="11" t="n">
        <x:v>5622</x:v>
      </x:c>
      <x:c r="F15" s="11" t="n">
        <x:v>2400</x:v>
      </x:c>
      <x:c r="G15" s="11" t="n">
        <x:v>1</x:v>
      </x:c>
      <x:c r="H15" s="12" t="n">
        <x:v>0.1</x:v>
      </x:c>
      <x:c r="I15" s="11" t="n">
        <x:v>0</x:v>
      </x:c>
      <x:c r="J15" s="11" t="str"/>
      <x:c r="K15" s="11" t="n">
        <x:v>1016</x:v>
      </x:c>
      <x:c r="L15" s="11" t="n">
        <x:v>0</x:v>
      </x:c>
      <x:c r="M15" s="2" t="str"/>
      <x:c r="N15" s="2" t="str">
        <x:v>Train</x:v>
      </x:c>
      <x:c r="O15" s="2" t="str">
        <x:v>Company-Calibrated Synthetic Dataset for Academic Analysis — illustrative figures, calibrated to Matco Foods Limited's disclosed scale, not actual company records.</x:v>
      </x:c>
    </x:row>
    <x:row r="16" ht="22" customHeight="1">
      <x:c r="A16" s="10" t="d">
        <x:v>2023-12-11T00:00:00.000Z</x:v>
      </x:c>
      <x:c r="B16" s="2" t="str">
        <x:v>Falak Extreme Basmati Rice 5 kg</x:v>
      </x:c>
      <x:c r="C16" s="2" t="str">
        <x:v>Pakistan domestic retail</x:v>
      </x:c>
      <x:c r="D16" s="11" t="n">
        <x:v>5581</x:v>
      </x:c>
      <x:c r="E16" s="11" t="n">
        <x:v>5160</x:v>
      </x:c>
      <x:c r="F16" s="11" t="n">
        <x:v>2400</x:v>
      </x:c>
      <x:c r="G16" s="11" t="n">
        <x:v>0</x:v>
      </x:c>
      <x:c r="H16" s="12" t="n">
        <x:v>0</x:v>
      </x:c>
      <x:c r="I16" s="11" t="n">
        <x:v>0</x:v>
      </x:c>
      <x:c r="J16" s="11" t="str"/>
      <x:c r="K16" s="11" t="n">
        <x:v>1017</x:v>
      </x:c>
      <x:c r="L16" s="11" t="n">
        <x:v>0</x:v>
      </x:c>
      <x:c r="M16" s="2" t="str"/>
      <x:c r="N16" s="2" t="str">
        <x:v>Train</x:v>
      </x:c>
      <x:c r="O16" s="2" t="str">
        <x:v>Company-Calibrated Synthetic Dataset for Academic Analysis — illustrative figures, calibrated to Matco Foods Limited's disclosed scale, not actual company records.</x:v>
      </x:c>
    </x:row>
    <x:row r="17" ht="22" customHeight="1">
      <x:c r="A17" s="10" t="d">
        <x:v>2023-12-18T00:00:00.000Z</x:v>
      </x:c>
      <x:c r="B17" s="2" t="str">
        <x:v>Falak Extreme Basmati Rice 5 kg</x:v>
      </x:c>
      <x:c r="C17" s="2" t="str">
        <x:v>Pakistan domestic retail</x:v>
      </x:c>
      <x:c r="D17" s="11" t="n">
        <x:v>4396</x:v>
      </x:c>
      <x:c r="E17" s="11" t="n">
        <x:v>5170</x:v>
      </x:c>
      <x:c r="F17" s="11" t="n">
        <x:v>2400</x:v>
      </x:c>
      <x:c r="G17" s="11" t="n">
        <x:v>0</x:v>
      </x:c>
      <x:c r="H17" s="12" t="n">
        <x:v>0</x:v>
      </x:c>
      <x:c r="I17" s="11" t="n">
        <x:v>0</x:v>
      </x:c>
      <x:c r="J17" s="11" t="str"/>
      <x:c r="K17" s="11" t="n">
        <x:v>1004</x:v>
      </x:c>
      <x:c r="L17" s="11" t="n">
        <x:v>0</x:v>
      </x:c>
      <x:c r="M17" s="2" t="str"/>
      <x:c r="N17" s="2" t="str">
        <x:v>Train</x:v>
      </x:c>
      <x:c r="O17" s="2" t="str">
        <x:v>Company-Calibrated Synthetic Dataset for Academic Analysis — illustrative figures, calibrated to Matco Foods Limited's disclosed scale, not actual company records.</x:v>
      </x:c>
    </x:row>
    <x:row r="18" ht="22" customHeight="1">
      <x:c r="A18" s="10" t="d">
        <x:v>2023-12-25T00:00:00.000Z</x:v>
      </x:c>
      <x:c r="B18" s="2" t="str">
        <x:v>Falak Extreme Basmati Rice 5 kg</x:v>
      </x:c>
      <x:c r="C18" s="2" t="str">
        <x:v>Pakistan domestic retail</x:v>
      </x:c>
      <x:c r="D18" s="11" t="n">
        <x:v>5417</x:v>
      </x:c>
      <x:c r="E18" s="11" t="n">
        <x:v>5107</x:v>
      </x:c>
      <x:c r="F18" s="11" t="n">
        <x:v>2400</x:v>
      </x:c>
      <x:c r="G18" s="11" t="n">
        <x:v>0</x:v>
      </x:c>
      <x:c r="H18" s="12" t="n">
        <x:v>0</x:v>
      </x:c>
      <x:c r="I18" s="11" t="n">
        <x:v>0</x:v>
      </x:c>
      <x:c r="J18" s="11" t="str"/>
      <x:c r="K18" s="11" t="n">
        <x:v>1008</x:v>
      </x:c>
      <x:c r="L18" s="11" t="n">
        <x:v>0</x:v>
      </x:c>
      <x:c r="M18" s="2" t="str"/>
      <x:c r="N18" s="2" t="str">
        <x:v>Train</x:v>
      </x:c>
      <x:c r="O18" s="2" t="str">
        <x:v>Company-Calibrated Synthetic Dataset for Academic Analysis — illustrative figures, calibrated to Matco Foods Limited's disclosed scale, not actual company records.</x:v>
      </x:c>
    </x:row>
    <x:row r="19" ht="22" customHeight="1">
      <x:c r="A19" s="10" t="d">
        <x:v>2024-01-01T00:00:00.000Z</x:v>
      </x:c>
      <x:c r="B19" s="2" t="str">
        <x:v>Falak Extreme Basmati Rice 5 kg</x:v>
      </x:c>
      <x:c r="C19" s="2" t="str">
        <x:v>Pakistan domestic retail</x:v>
      </x:c>
      <x:c r="D19" s="11" t="n">
        <x:v>5240</x:v>
      </x:c>
      <x:c r="E19" s="11" t="n">
        <x:v>5130</x:v>
      </x:c>
      <x:c r="F19" s="11" t="n">
        <x:v>2400</x:v>
      </x:c>
      <x:c r="G19" s="11" t="n">
        <x:v>0</x:v>
      </x:c>
      <x:c r="H19" s="12" t="n">
        <x:v>0</x:v>
      </x:c>
      <x:c r="I19" s="11" t="n">
        <x:v>0</x:v>
      </x:c>
      <x:c r="J19" s="11" t="str"/>
      <x:c r="K19" s="11" t="n">
        <x:v>991</x:v>
      </x:c>
      <x:c r="L19" s="11" t="n">
        <x:v>0</x:v>
      </x:c>
      <x:c r="M19" s="2" t="str"/>
      <x:c r="N19" s="2" t="str">
        <x:v>Train</x:v>
      </x:c>
      <x:c r="O19" s="2" t="str">
        <x:v>Company-Calibrated Synthetic Dataset for Academic Analysis — illustrative figures, calibrated to Matco Foods Limited's disclosed scale, not actual company records.</x:v>
      </x:c>
    </x:row>
    <x:row r="20" ht="22" customHeight="1">
      <x:c r="A20" s="10" t="d">
        <x:v>2024-01-08T00:00:00.000Z</x:v>
      </x:c>
      <x:c r="B20" s="2" t="str">
        <x:v>Falak Extreme Basmati Rice 5 kg</x:v>
      </x:c>
      <x:c r="C20" s="2" t="str">
        <x:v>Pakistan domestic retail</x:v>
      </x:c>
      <x:c r="D20" s="11" t="n">
        <x:v>6097</x:v>
      </x:c>
      <x:c r="E20" s="11" t="n">
        <x:v>5046</x:v>
      </x:c>
      <x:c r="F20" s="11" t="n">
        <x:v>2400</x:v>
      </x:c>
      <x:c r="G20" s="11" t="n">
        <x:v>0</x:v>
      </x:c>
      <x:c r="H20" s="12" t="n">
        <x:v>0</x:v>
      </x:c>
      <x:c r="I20" s="11" t="n">
        <x:v>0</x:v>
      </x:c>
      <x:c r="J20" s="11" t="str"/>
      <x:c r="K20" s="11" t="n">
        <x:v>988</x:v>
      </x:c>
      <x:c r="L20" s="11" t="n">
        <x:v>0</x:v>
      </x:c>
      <x:c r="M20" s="2" t="str"/>
      <x:c r="N20" s="2" t="str">
        <x:v>Train</x:v>
      </x:c>
      <x:c r="O20" s="2" t="str">
        <x:v>Company-Calibrated Synthetic Dataset for Academic Analysis — illustrative figures, calibrated to Matco Foods Limited's disclosed scale, not actual company records.</x:v>
      </x:c>
    </x:row>
    <x:row r="21" ht="22" customHeight="1">
      <x:c r="A21" s="10" t="d">
        <x:v>2024-01-15T00:00:00.000Z</x:v>
      </x:c>
      <x:c r="B21" s="2" t="str">
        <x:v>Falak Extreme Basmati Rice 5 kg</x:v>
      </x:c>
      <x:c r="C21" s="2" t="str">
        <x:v>Pakistan domestic retail</x:v>
      </x:c>
      <x:c r="D21" s="11" t="n">
        <x:v>6754</x:v>
      </x:c>
      <x:c r="E21" s="11" t="n">
        <x:v>5434</x:v>
      </x:c>
      <x:c r="F21" s="11" t="n">
        <x:v>2400</x:v>
      </x:c>
      <x:c r="G21" s="11" t="n">
        <x:v>1</x:v>
      </x:c>
      <x:c r="H21" s="12" t="n">
        <x:v>0.12</x:v>
      </x:c>
      <x:c r="I21" s="11" t="n">
        <x:v>0</x:v>
      </x:c>
      <x:c r="J21" s="11" t="str"/>
      <x:c r="K21" s="11" t="n">
        <x:v>975</x:v>
      </x:c>
      <x:c r="L21" s="11" t="n">
        <x:v>0</x:v>
      </x:c>
      <x:c r="M21" s="2" t="str"/>
      <x:c r="N21" s="2" t="str">
        <x:v>Train</x:v>
      </x:c>
      <x:c r="O21" s="2" t="str">
        <x:v>Company-Calibrated Synthetic Dataset for Academic Analysis — illustrative figures, calibrated to Matco Foods Limited's disclosed scale, not actual company records.</x:v>
      </x:c>
    </x:row>
    <x:row r="22" ht="22" customHeight="1">
      <x:c r="A22" s="10" t="d">
        <x:v>2024-01-22T00:00:00.000Z</x:v>
      </x:c>
      <x:c r="B22" s="2" t="str">
        <x:v>Falak Extreme Basmati Rice 5 kg</x:v>
      </x:c>
      <x:c r="C22" s="2" t="str">
        <x:v>Pakistan domestic retail</x:v>
      </x:c>
      <x:c r="D22" s="11" t="n">
        <x:v>4656</x:v>
      </x:c>
      <x:c r="E22" s="11" t="n">
        <x:v>4965</x:v>
      </x:c>
      <x:c r="F22" s="11" t="n">
        <x:v>2400</x:v>
      </x:c>
      <x:c r="G22" s="11" t="n">
        <x:v>0</x:v>
      </x:c>
      <x:c r="H22" s="12" t="n">
        <x:v>0</x:v>
      </x:c>
      <x:c r="I22" s="11" t="n">
        <x:v>0</x:v>
      </x:c>
      <x:c r="J22" s="11" t="str"/>
      <x:c r="K22" s="11" t="n">
        <x:v>973</x:v>
      </x:c>
      <x:c r="L22" s="11" t="n">
        <x:v>0</x:v>
      </x:c>
      <x:c r="M22" s="2" t="str"/>
      <x:c r="N22" s="2" t="str">
        <x:v>Train</x:v>
      </x:c>
      <x:c r="O22" s="2" t="str">
        <x:v>Company-Calibrated Synthetic Dataset for Academic Analysis — illustrative figures, calibrated to Matco Foods Limited's disclosed scale, not actual company records.</x:v>
      </x:c>
    </x:row>
    <x:row r="23" ht="22" customHeight="1">
      <x:c r="A23" s="10" t="d">
        <x:v>2024-01-29T00:00:00.000Z</x:v>
      </x:c>
      <x:c r="B23" s="2" t="str">
        <x:v>Falak Extreme Basmati Rice 5 kg</x:v>
      </x:c>
      <x:c r="C23" s="2" t="str">
        <x:v>Pakistan domestic retail</x:v>
      </x:c>
      <x:c r="D23" s="11" t="n">
        <x:v>5237</x:v>
      </x:c>
      <x:c r="E23" s="11" t="n">
        <x:v>4954</x:v>
      </x:c>
      <x:c r="F23" s="11" t="n">
        <x:v>2400</x:v>
      </x:c>
      <x:c r="G23" s="11" t="n">
        <x:v>0</x:v>
      </x:c>
      <x:c r="H23" s="12" t="n">
        <x:v>0</x:v>
      </x:c>
      <x:c r="I23" s="11" t="n">
        <x:v>0</x:v>
      </x:c>
      <x:c r="J23" s="11" t="str"/>
      <x:c r="K23" s="11" t="n">
        <x:v>978</x:v>
      </x:c>
      <x:c r="L23" s="11" t="n">
        <x:v>0</x:v>
      </x:c>
      <x:c r="M23" s="2" t="str"/>
      <x:c r="N23" s="2" t="str">
        <x:v>Train</x:v>
      </x:c>
      <x:c r="O23" s="2" t="str">
        <x:v>Company-Calibrated Synthetic Dataset for Academic Analysis — illustrative figures, calibrated to Matco Foods Limited's disclosed scale, not actual company records.</x:v>
      </x:c>
    </x:row>
    <x:row r="24" ht="22" customHeight="1">
      <x:c r="A24" s="10" t="d">
        <x:v>2024-02-05T00:00:00.000Z</x:v>
      </x:c>
      <x:c r="B24" s="2" t="str">
        <x:v>Falak Extreme Basmati Rice 5 kg</x:v>
      </x:c>
      <x:c r="C24" s="2" t="str">
        <x:v>Pakistan domestic retail</x:v>
      </x:c>
      <x:c r="D24" s="11" t="n">
        <x:v>6526</x:v>
      </x:c>
      <x:c r="E24" s="11" t="n">
        <x:v>5375</x:v>
      </x:c>
      <x:c r="F24" s="11" t="n">
        <x:v>2400</x:v>
      </x:c>
      <x:c r="G24" s="11" t="n">
        <x:v>1</x:v>
      </x:c>
      <x:c r="H24" s="12" t="n">
        <x:v>0.12</x:v>
      </x:c>
      <x:c r="I24" s="11" t="n">
        <x:v>0</x:v>
      </x:c>
      <x:c r="J24" s="11" t="str"/>
      <x:c r="K24" s="11" t="n">
        <x:v>973</x:v>
      </x:c>
      <x:c r="L24" s="11" t="n">
        <x:v>0</x:v>
      </x:c>
      <x:c r="M24" s="2" t="str"/>
      <x:c r="N24" s="2" t="str">
        <x:v>Train</x:v>
      </x:c>
      <x:c r="O24" s="2" t="str">
        <x:v>Company-Calibrated Synthetic Dataset for Academic Analysis — illustrative figures, calibrated to Matco Foods Limited's disclosed scale, not actual company records.</x:v>
      </x:c>
    </x:row>
    <x:row r="25" ht="22" customHeight="1">
      <x:c r="A25" s="10" t="d">
        <x:v>2024-02-12T00:00:00.000Z</x:v>
      </x:c>
      <x:c r="B25" s="2" t="str">
        <x:v>Falak Extreme Basmati Rice 5 kg</x:v>
      </x:c>
      <x:c r="C25" s="2" t="str">
        <x:v>Pakistan domestic retail</x:v>
      </x:c>
      <x:c r="D25" s="11" t="n">
        <x:v>4825</x:v>
      </x:c>
      <x:c r="E25" s="11" t="n">
        <x:v>4949</x:v>
      </x:c>
      <x:c r="F25" s="11" t="n">
        <x:v>2400</x:v>
      </x:c>
      <x:c r="G25" s="11" t="n">
        <x:v>0</x:v>
      </x:c>
      <x:c r="H25" s="12" t="n">
        <x:v>0</x:v>
      </x:c>
      <x:c r="I25" s="11" t="n">
        <x:v>0</x:v>
      </x:c>
      <x:c r="J25" s="11" t="str"/>
      <x:c r="K25" s="11" t="n">
        <x:v>981</x:v>
      </x:c>
      <x:c r="L25" s="11" t="n">
        <x:v>0</x:v>
      </x:c>
      <x:c r="M25" s="2" t="str"/>
      <x:c r="N25" s="2" t="str">
        <x:v>Train</x:v>
      </x:c>
      <x:c r="O25" s="2" t="str">
        <x:v>Company-Calibrated Synthetic Dataset for Academic Analysis — illustrative figures, calibrated to Matco Foods Limited's disclosed scale, not actual company records.</x:v>
      </x:c>
    </x:row>
    <x:row r="26" ht="22" customHeight="1">
      <x:c r="A26" s="10" t="d">
        <x:v>2024-02-19T00:00:00.000Z</x:v>
      </x:c>
      <x:c r="B26" s="2" t="str">
        <x:v>Falak Extreme Basmati Rice 5 kg</x:v>
      </x:c>
      <x:c r="C26" s="2" t="str">
        <x:v>Pakistan domestic retail</x:v>
      </x:c>
      <x:c r="D26" s="11" t="n">
        <x:v>4825</x:v>
      </x:c>
      <x:c r="E26" s="11" t="n">
        <x:v>4986</x:v>
      </x:c>
      <x:c r="F26" s="11" t="n">
        <x:v>2500</x:v>
      </x:c>
      <x:c r="G26" s="11" t="n">
        <x:v>0</x:v>
      </x:c>
      <x:c r="H26" s="12" t="n">
        <x:v>0</x:v>
      </x:c>
      <x:c r="I26" s="11" t="n">
        <x:v>0</x:v>
      </x:c>
      <x:c r="J26" s="11" t="str"/>
      <x:c r="K26" s="11" t="n">
        <x:v>988</x:v>
      </x:c>
      <x:c r="L26" s="11" t="n">
        <x:v>0</x:v>
      </x:c>
      <x:c r="M26" s="2" t="str"/>
      <x:c r="N26" s="2" t="str">
        <x:v>Train</x:v>
      </x:c>
      <x:c r="O26" s="2" t="str">
        <x:v>Company-Calibrated Synthetic Dataset for Academic Analysis — illustrative figures, calibrated to Matco Foods Limited's disclosed scale, not actual company records.</x:v>
      </x:c>
    </x:row>
    <x:row r="27" ht="22" customHeight="1">
      <x:c r="A27" s="10" t="d">
        <x:v>2024-02-26T00:00:00.000Z</x:v>
      </x:c>
      <x:c r="B27" s="2" t="str">
        <x:v>Falak Extreme Basmati Rice 5 kg</x:v>
      </x:c>
      <x:c r="C27" s="2" t="str">
        <x:v>Pakistan domestic retail</x:v>
      </x:c>
      <x:c r="D27" s="11" t="n">
        <x:v>5261</x:v>
      </x:c>
      <x:c r="E27" s="11" t="n">
        <x:v>4957</x:v>
      </x:c>
      <x:c r="F27" s="11" t="n">
        <x:v>2500</x:v>
      </x:c>
      <x:c r="G27" s="11" t="n">
        <x:v>0</x:v>
      </x:c>
      <x:c r="H27" s="12" t="n">
        <x:v>0</x:v>
      </x:c>
      <x:c r="I27" s="11" t="n">
        <x:v>0</x:v>
      </x:c>
      <x:c r="J27" s="11" t="str"/>
      <x:c r="K27" s="11" t="n">
        <x:v>986</x:v>
      </x:c>
      <x:c r="L27" s="11" t="n">
        <x:v>0</x:v>
      </x:c>
      <x:c r="M27" s="2" t="str"/>
      <x:c r="N27" s="2" t="str">
        <x:v>Train</x:v>
      </x:c>
      <x:c r="O27" s="2" t="str">
        <x:v>Company-Calibrated Synthetic Dataset for Academic Analysis — illustrative figures, calibrated to Matco Foods Limited's disclosed scale, not actual company records.</x:v>
      </x:c>
    </x:row>
    <x:row r="28" ht="22" customHeight="1">
      <x:c r="A28" s="10" t="d">
        <x:v>2024-03-04T00:00:00.000Z</x:v>
      </x:c>
      <x:c r="B28" s="2" t="str">
        <x:v>Falak Extreme Basmati Rice 5 kg</x:v>
      </x:c>
      <x:c r="C28" s="2" t="str">
        <x:v>Pakistan domestic retail</x:v>
      </x:c>
      <x:c r="D28" s="11" t="n">
        <x:v>9044</x:v>
      </x:c>
      <x:c r="E28" s="11" t="n">
        <x:v>5831</x:v>
      </x:c>
      <x:c r="F28" s="11" t="n">
        <x:v>2500</x:v>
      </x:c>
      <x:c r="G28" s="11" t="n">
        <x:v>1</x:v>
      </x:c>
      <x:c r="H28" s="12" t="n">
        <x:v>0.12</x:v>
      </x:c>
      <x:c r="I28" s="11" t="n">
        <x:v>1</x:v>
      </x:c>
      <x:c r="J28" s="11" t="str">
        <x:v>Ramadan stocking</x:v>
      </x:c>
      <x:c r="K28" s="11" t="n">
        <x:v>1016</x:v>
      </x:c>
      <x:c r="L28" s="11" t="n">
        <x:v>0</x:v>
      </x:c>
      <x:c r="M28" s="2" t="str"/>
      <x:c r="N28" s="2" t="str">
        <x:v>Train</x:v>
      </x:c>
      <x:c r="O28" s="2" t="str">
        <x:v>Company-Calibrated Synthetic Dataset for Academic Analysis — illustrative figures, calibrated to Matco Foods Limited's disclosed scale, not actual company records.</x:v>
      </x:c>
    </x:row>
    <x:row r="29" ht="22" customHeight="1">
      <x:c r="A29" s="10" t="d">
        <x:v>2024-03-11T00:00:00.000Z</x:v>
      </x:c>
      <x:c r="B29" s="2" t="str">
        <x:v>Falak Extreme Basmati Rice 5 kg</x:v>
      </x:c>
      <x:c r="C29" s="2" t="str">
        <x:v>Pakistan domestic retail</x:v>
      </x:c>
      <x:c r="D29" s="11" t="n">
        <x:v>6293</x:v>
      </x:c>
      <x:c r="E29" s="11" t="n">
        <x:v>5595</x:v>
      </x:c>
      <x:c r="F29" s="11" t="n">
        <x:v>2500</x:v>
      </x:c>
      <x:c r="G29" s="11" t="n">
        <x:v>0</x:v>
      </x:c>
      <x:c r="H29" s="12" t="n">
        <x:v>0</x:v>
      </x:c>
      <x:c r="I29" s="11" t="n">
        <x:v>1</x:v>
      </x:c>
      <x:c r="J29" s="11" t="str">
        <x:v>Ramadan stocking; Ramadan</x:v>
      </x:c>
      <x:c r="K29" s="11" t="n">
        <x:v>1015</x:v>
      </x:c>
      <x:c r="L29" s="11" t="n">
        <x:v>0</x:v>
      </x:c>
      <x:c r="M29" s="2" t="str"/>
      <x:c r="N29" s="2" t="str">
        <x:v>Train</x:v>
      </x:c>
      <x:c r="O29" s="2" t="str">
        <x:v>Company-Calibrated Synthetic Dataset for Academic Analysis — illustrative figures, calibrated to Matco Foods Limited's disclosed scale, not actual company records.</x:v>
      </x:c>
    </x:row>
    <x:row r="30" ht="22" customHeight="1">
      <x:c r="A30" s="10" t="d">
        <x:v>2024-03-18T00:00:00.000Z</x:v>
      </x:c>
      <x:c r="B30" s="2" t="str">
        <x:v>Falak Extreme Basmati Rice 5 kg</x:v>
      </x:c>
      <x:c r="C30" s="2" t="str">
        <x:v>Pakistan domestic retail</x:v>
      </x:c>
      <x:c r="D30" s="11" t="n">
        <x:v>4982</x:v>
      </x:c>
      <x:c r="E30" s="11" t="n">
        <x:v>5583</x:v>
      </x:c>
      <x:c r="F30" s="11" t="n">
        <x:v>2500</x:v>
      </x:c>
      <x:c r="G30" s="11" t="n">
        <x:v>0</x:v>
      </x:c>
      <x:c r="H30" s="12" t="n">
        <x:v>0</x:v>
      </x:c>
      <x:c r="I30" s="11" t="n">
        <x:v>1</x:v>
      </x:c>
      <x:c r="J30" s="11" t="str">
        <x:v>Ramadan</x:v>
      </x:c>
      <x:c r="K30" s="11" t="n">
        <x:v>1012</x:v>
      </x:c>
      <x:c r="L30" s="11" t="n">
        <x:v>0</x:v>
      </x:c>
      <x:c r="M30" s="2" t="str"/>
      <x:c r="N30" s="2" t="str">
        <x:v>Train</x:v>
      </x:c>
      <x:c r="O30" s="2" t="str">
        <x:v>Company-Calibrated Synthetic Dataset for Academic Analysis — illustrative figures, calibrated to Matco Foods Limited's disclosed scale, not actual company records.</x:v>
      </x:c>
    </x:row>
    <x:row r="31" ht="22" customHeight="1">
      <x:c r="A31" s="10" t="d">
        <x:v>2024-03-25T00:00:00.000Z</x:v>
      </x:c>
      <x:c r="B31" s="2" t="str">
        <x:v>Falak Extreme Basmati Rice 5 kg</x:v>
      </x:c>
      <x:c r="C31" s="2" t="str">
        <x:v>Pakistan domestic retail</x:v>
      </x:c>
      <x:c r="D31" s="11" t="n">
        <x:v>5034</x:v>
      </x:c>
      <x:c r="E31" s="11" t="n">
        <x:v>5559</x:v>
      </x:c>
      <x:c r="F31" s="11" t="n">
        <x:v>2500</x:v>
      </x:c>
      <x:c r="G31" s="11" t="n">
        <x:v>0</x:v>
      </x:c>
      <x:c r="H31" s="12" t="n">
        <x:v>0</x:v>
      </x:c>
      <x:c r="I31" s="11" t="n">
        <x:v>1</x:v>
      </x:c>
      <x:c r="J31" s="11" t="str">
        <x:v>Ramadan</x:v>
      </x:c>
      <x:c r="K31" s="11" t="n">
        <x:v>1015</x:v>
      </x:c>
      <x:c r="L31" s="11" t="n">
        <x:v>0</x:v>
      </x:c>
      <x:c r="M31" s="2" t="str"/>
      <x:c r="N31" s="2" t="str">
        <x:v>Train</x:v>
      </x:c>
      <x:c r="O31" s="2" t="str">
        <x:v>Company-Calibrated Synthetic Dataset for Academic Analysis — illustrative figures, calibrated to Matco Foods Limited's disclosed scale, not actual company records.</x:v>
      </x:c>
    </x:row>
    <x:row r="32" ht="22" customHeight="1">
      <x:c r="A32" s="10" t="d">
        <x:v>2024-04-01T00:00:00.000Z</x:v>
      </x:c>
      <x:c r="B32" s="2" t="str">
        <x:v>Falak Extreme Basmati Rice 5 kg</x:v>
      </x:c>
      <x:c r="C32" s="2" t="str">
        <x:v>Pakistan domestic retail</x:v>
      </x:c>
      <x:c r="D32" s="11" t="n">
        <x:v>5977</x:v>
      </x:c>
      <x:c r="E32" s="11" t="n">
        <x:v>5568</x:v>
      </x:c>
      <x:c r="F32" s="11" t="n">
        <x:v>2500</x:v>
      </x:c>
      <x:c r="G32" s="11" t="n">
        <x:v>0</x:v>
      </x:c>
      <x:c r="H32" s="12" t="n">
        <x:v>0</x:v>
      </x:c>
      <x:c r="I32" s="11" t="n">
        <x:v>1</x:v>
      </x:c>
      <x:c r="J32" s="11" t="str">
        <x:v>Ramadan; Eid-ul-Fitr</x:v>
      </x:c>
      <x:c r="K32" s="11" t="n">
        <x:v>1055</x:v>
      </x:c>
      <x:c r="L32" s="11" t="n">
        <x:v>0</x:v>
      </x:c>
      <x:c r="M32" s="2" t="str"/>
      <x:c r="N32" s="2" t="str">
        <x:v>Train</x:v>
      </x:c>
      <x:c r="O32" s="2" t="str">
        <x:v>Company-Calibrated Synthetic Dataset for Academic Analysis — illustrative figures, calibrated to Matco Foods Limited's disclosed scale, not actual company records.</x:v>
      </x:c>
    </x:row>
    <x:row r="33" ht="22" customHeight="1">
      <x:c r="A33" s="10" t="d">
        <x:v>2024-04-08T00:00:00.000Z</x:v>
      </x:c>
      <x:c r="B33" s="2" t="str">
        <x:v>Falak Extreme Basmati Rice 5 kg</x:v>
      </x:c>
      <x:c r="C33" s="2" t="str">
        <x:v>Pakistan domestic retail</x:v>
      </x:c>
      <x:c r="D33" s="11" t="n">
        <x:v>5504</x:v>
      </x:c>
      <x:c r="E33" s="11" t="n">
        <x:v>5780</x:v>
      </x:c>
      <x:c r="F33" s="11" t="n">
        <x:v>2500</x:v>
      </x:c>
      <x:c r="G33" s="11" t="n">
        <x:v>0</x:v>
      </x:c>
      <x:c r="H33" s="12" t="n">
        <x:v>0</x:v>
      </x:c>
      <x:c r="I33" s="11" t="n">
        <x:v>1</x:v>
      </x:c>
      <x:c r="J33" s="11" t="str">
        <x:v>Eid-ul-Fitr</x:v>
      </x:c>
      <x:c r="K33" s="11" t="n">
        <x:v>1037</x:v>
      </x:c>
      <x:c r="L33" s="11" t="n">
        <x:v>0</x:v>
      </x:c>
      <x:c r="M33" s="2" t="str"/>
      <x:c r="N33" s="2" t="str">
        <x:v>Train</x:v>
      </x:c>
      <x:c r="O33" s="2" t="str">
        <x:v>Company-Calibrated Synthetic Dataset for Academic Analysis — illustrative figures, calibrated to Matco Foods Limited's disclosed scale, not actual company records.</x:v>
      </x:c>
    </x:row>
    <x:row r="34" ht="22" customHeight="1">
      <x:c r="A34" s="10" t="d">
        <x:v>2024-04-15T00:00:00.000Z</x:v>
      </x:c>
      <x:c r="B34" s="2" t="str">
        <x:v>Falak Extreme Basmati Rice 5 kg</x:v>
      </x:c>
      <x:c r="C34" s="2" t="str">
        <x:v>Pakistan domestic retail</x:v>
      </x:c>
      <x:c r="D34" s="11" t="n">
        <x:v>7231</x:v>
      </x:c>
      <x:c r="E34" s="11" t="n">
        <x:v>5570</x:v>
      </x:c>
      <x:c r="F34" s="11" t="n">
        <x:v>2500</x:v>
      </x:c>
      <x:c r="G34" s="11" t="n">
        <x:v>1</x:v>
      </x:c>
      <x:c r="H34" s="12" t="n">
        <x:v>0.12</x:v>
      </x:c>
      <x:c r="I34" s="11" t="n">
        <x:v>0</x:v>
      </x:c>
      <x:c r="J34" s="11" t="str"/>
      <x:c r="K34" s="11" t="n">
        <x:v>1091</x:v>
      </x:c>
      <x:c r="L34" s="11" t="n">
        <x:v>0</x:v>
      </x:c>
      <x:c r="M34" s="2" t="str"/>
      <x:c r="N34" s="2" t="str">
        <x:v>Train</x:v>
      </x:c>
      <x:c r="O34" s="2" t="str">
        <x:v>Company-Calibrated Synthetic Dataset for Academic Analysis — illustrative figures, calibrated to Matco Foods Limited's disclosed scale, not actual company records.</x:v>
      </x:c>
    </x:row>
    <x:row r="35" ht="22" customHeight="1">
      <x:c r="A35" s="10" t="d">
        <x:v>2024-04-22T00:00:00.000Z</x:v>
      </x:c>
      <x:c r="B35" s="2" t="str">
        <x:v>Falak Extreme Basmati Rice 5 kg</x:v>
      </x:c>
      <x:c r="C35" s="2" t="str">
        <x:v>Pakistan domestic retail</x:v>
      </x:c>
      <x:c r="D35" s="11" t="n">
        <x:v>5202</x:v>
      </x:c>
      <x:c r="E35" s="11" t="n">
        <x:v>5418</x:v>
      </x:c>
      <x:c r="F35" s="11" t="n">
        <x:v>2500</x:v>
      </x:c>
      <x:c r="G35" s="11" t="n">
        <x:v>0</x:v>
      </x:c>
      <x:c r="H35" s="12" t="n">
        <x:v>0</x:v>
      </x:c>
      <x:c r="I35" s="11" t="n">
        <x:v>0</x:v>
      </x:c>
      <x:c r="J35" s="11" t="str"/>
      <x:c r="K35" s="11" t="n">
        <x:v>1056</x:v>
      </x:c>
      <x:c r="L35" s="11" t="n">
        <x:v>0</x:v>
      </x:c>
      <x:c r="M35" s="2" t="str"/>
      <x:c r="N35" s="2" t="str">
        <x:v>Train</x:v>
      </x:c>
      <x:c r="O35" s="2" t="str">
        <x:v>Company-Calibrated Synthetic Dataset for Academic Analysis — illustrative figures, calibrated to Matco Foods Limited's disclosed scale, not actual company records.</x:v>
      </x:c>
    </x:row>
    <x:row r="36" ht="22" customHeight="1">
      <x:c r="A36" s="10" t="d">
        <x:v>2024-04-29T00:00:00.000Z</x:v>
      </x:c>
      <x:c r="B36" s="2" t="str">
        <x:v>Falak Extreme Basmati Rice 5 kg</x:v>
      </x:c>
      <x:c r="C36" s="2" t="str">
        <x:v>Pakistan domestic retail</x:v>
      </x:c>
      <x:c r="D36" s="11" t="n">
        <x:v>4779</x:v>
      </x:c>
      <x:c r="E36" s="11" t="n">
        <x:v>5237</x:v>
      </x:c>
      <x:c r="F36" s="11" t="n">
        <x:v>2500</x:v>
      </x:c>
      <x:c r="G36" s="11" t="n">
        <x:v>0</x:v>
      </x:c>
      <x:c r="H36" s="12" t="n">
        <x:v>0</x:v>
      </x:c>
      <x:c r="I36" s="11" t="n">
        <x:v>0</x:v>
      </x:c>
      <x:c r="J36" s="11" t="str"/>
      <x:c r="K36" s="11" t="n">
        <x:v>1049</x:v>
      </x:c>
      <x:c r="L36" s="11" t="n">
        <x:v>0</x:v>
      </x:c>
      <x:c r="M36" s="2" t="str"/>
      <x:c r="N36" s="2" t="str">
        <x:v>Train</x:v>
      </x:c>
      <x:c r="O36" s="2" t="str">
        <x:v>Company-Calibrated Synthetic Dataset for Academic Analysis — illustrative figures, calibrated to Matco Foods Limited's disclosed scale, not actual company records.</x:v>
      </x:c>
    </x:row>
    <x:row r="37" ht="22" customHeight="1">
      <x:c r="A37" s="10" t="d">
        <x:v>2024-05-06T00:00:00.000Z</x:v>
      </x:c>
      <x:c r="B37" s="2" t="str">
        <x:v>Falak Extreme Basmati Rice 5 kg</x:v>
      </x:c>
      <x:c r="C37" s="2" t="str">
        <x:v>Pakistan domestic retail</x:v>
      </x:c>
      <x:c r="D37" s="11" t="n">
        <x:v>6066</x:v>
      </x:c>
      <x:c r="E37" s="11" t="n">
        <x:v>5610</x:v>
      </x:c>
      <x:c r="F37" s="11" t="n">
        <x:v>2500</x:v>
      </x:c>
      <x:c r="G37" s="11" t="n">
        <x:v>1</x:v>
      </x:c>
      <x:c r="H37" s="12" t="n">
        <x:v>0.1</x:v>
      </x:c>
      <x:c r="I37" s="11" t="n">
        <x:v>0</x:v>
      </x:c>
      <x:c r="J37" s="11" t="str"/>
      <x:c r="K37" s="11" t="n">
        <x:v>1038</x:v>
      </x:c>
      <x:c r="L37" s="11" t="n">
        <x:v>0</x:v>
      </x:c>
      <x:c r="M37" s="2" t="str"/>
      <x:c r="N37" s="2" t="str">
        <x:v>Train</x:v>
      </x:c>
      <x:c r="O37" s="2" t="str">
        <x:v>Company-Calibrated Synthetic Dataset for Academic Analysis — illustrative figures, calibrated to Matco Foods Limited's disclosed scale, not actual company records.</x:v>
      </x:c>
    </x:row>
    <x:row r="38" ht="22" customHeight="1">
      <x:c r="A38" s="10" t="d">
        <x:v>2024-05-13T00:00:00.000Z</x:v>
      </x:c>
      <x:c r="B38" s="2" t="str">
        <x:v>Falak Extreme Basmati Rice 5 kg</x:v>
      </x:c>
      <x:c r="C38" s="2" t="str">
        <x:v>Pakistan domestic retail</x:v>
      </x:c>
      <x:c r="D38" s="11" t="n">
        <x:v>5499</x:v>
      </x:c>
      <x:c r="E38" s="11" t="n">
        <x:v>5134</x:v>
      </x:c>
      <x:c r="F38" s="11" t="n">
        <x:v>2500</x:v>
      </x:c>
      <x:c r="G38" s="11" t="n">
        <x:v>0</x:v>
      </x:c>
      <x:c r="H38" s="12" t="n">
        <x:v>0</x:v>
      </x:c>
      <x:c r="I38" s="11" t="n">
        <x:v>0</x:v>
      </x:c>
      <x:c r="J38" s="11" t="str"/>
      <x:c r="K38" s="11" t="n">
        <x:v>1040</x:v>
      </x:c>
      <x:c r="L38" s="11" t="n">
        <x:v>0</x:v>
      </x:c>
      <x:c r="M38" s="2" t="str"/>
      <x:c r="N38" s="2" t="str">
        <x:v>Train</x:v>
      </x:c>
      <x:c r="O38" s="2" t="str">
        <x:v>Company-Calibrated Synthetic Dataset for Academic Analysis — illustrative figures, calibrated to Matco Foods Limited's disclosed scale, not actual company records.</x:v>
      </x:c>
    </x:row>
    <x:row r="39" ht="22" customHeight="1">
      <x:c r="A39" s="10" t="d">
        <x:v>2024-05-20T00:00:00.000Z</x:v>
      </x:c>
      <x:c r="B39" s="2" t="str">
        <x:v>Falak Extreme Basmati Rice 5 kg</x:v>
      </x:c>
      <x:c r="C39" s="2" t="str">
        <x:v>Pakistan domestic retail</x:v>
      </x:c>
      <x:c r="D39" s="11" t="n">
        <x:v>5131</x:v>
      </x:c>
      <x:c r="E39" s="11" t="n">
        <x:v>5137</x:v>
      </x:c>
      <x:c r="F39" s="11" t="n">
        <x:v>2500</x:v>
      </x:c>
      <x:c r="G39" s="11" t="n">
        <x:v>0</x:v>
      </x:c>
      <x:c r="H39" s="12" t="n">
        <x:v>0</x:v>
      </x:c>
      <x:c r="I39" s="11" t="n">
        <x:v>0</x:v>
      </x:c>
      <x:c r="J39" s="11" t="str"/>
      <x:c r="K39" s="11" t="n">
        <x:v>1039</x:v>
      </x:c>
      <x:c r="L39" s="11" t="n">
        <x:v>0</x:v>
      </x:c>
      <x:c r="M39" s="2" t="str"/>
      <x:c r="N39" s="2" t="str">
        <x:v>Train</x:v>
      </x:c>
      <x:c r="O39" s="2" t="str">
        <x:v>Company-Calibrated Synthetic Dataset for Academic Analysis — illustrative figures, calibrated to Matco Foods Limited's disclosed scale, not actual company records.</x:v>
      </x:c>
    </x:row>
    <x:row r="40" ht="22" customHeight="1">
      <x:c r="A40" s="10" t="d">
        <x:v>2024-05-27T00:00:00.000Z</x:v>
      </x:c>
      <x:c r="B40" s="2" t="str">
        <x:v>Falak Extreme Basmati Rice 5 kg</x:v>
      </x:c>
      <x:c r="C40" s="2" t="str">
        <x:v>Pakistan domestic retail</x:v>
      </x:c>
      <x:c r="D40" s="11" t="n">
        <x:v>4775</x:v>
      </x:c>
      <x:c r="E40" s="11" t="n">
        <x:v>5126</x:v>
      </x:c>
      <x:c r="F40" s="11" t="n">
        <x:v>2500</x:v>
      </x:c>
      <x:c r="G40" s="11" t="n">
        <x:v>0</x:v>
      </x:c>
      <x:c r="H40" s="12" t="n">
        <x:v>0</x:v>
      </x:c>
      <x:c r="I40" s="11" t="n">
        <x:v>0</x:v>
      </x:c>
      <x:c r="J40" s="11" t="str"/>
      <x:c r="K40" s="11" t="n">
        <x:v>1010</x:v>
      </x:c>
      <x:c r="L40" s="11" t="n">
        <x:v>0</x:v>
      </x:c>
      <x:c r="M40" s="2" t="str"/>
      <x:c r="N40" s="2" t="str">
        <x:v>Train</x:v>
      </x:c>
      <x:c r="O40" s="2" t="str">
        <x:v>Company-Calibrated Synthetic Dataset for Academic Analysis — illustrative figures, calibrated to Matco Foods Limited's disclosed scale, not actual company records.</x:v>
      </x:c>
    </x:row>
    <x:row r="41" ht="22" customHeight="1">
      <x:c r="A41" s="10" t="d">
        <x:v>2024-06-03T00:00:00.000Z</x:v>
      </x:c>
      <x:c r="B41" s="2" t="str">
        <x:v>Falak Extreme Basmati Rice 5 kg</x:v>
      </x:c>
      <x:c r="C41" s="2" t="str">
        <x:v>Pakistan domestic retail</x:v>
      </x:c>
      <x:c r="D41" s="11" t="n">
        <x:v>5943</x:v>
      </x:c>
      <x:c r="E41" s="11" t="n">
        <x:v>5376</x:v>
      </x:c>
      <x:c r="F41" s="11" t="n">
        <x:v>2500</x:v>
      </x:c>
      <x:c r="G41" s="11" t="n">
        <x:v>1</x:v>
      </x:c>
      <x:c r="H41" s="12" t="n">
        <x:v>0.08</x:v>
      </x:c>
      <x:c r="I41" s="11" t="n">
        <x:v>0</x:v>
      </x:c>
      <x:c r="J41" s="11" t="str"/>
      <x:c r="K41" s="11" t="n">
        <x:v>1036</x:v>
      </x:c>
      <x:c r="L41" s="11" t="n">
        <x:v>0</x:v>
      </x:c>
      <x:c r="M41" s="2" t="str"/>
      <x:c r="N41" s="2" t="str">
        <x:v>Train</x:v>
      </x:c>
      <x:c r="O41" s="2" t="str">
        <x:v>Company-Calibrated Synthetic Dataset for Academic Analysis — illustrative figures, calibrated to Matco Foods Limited's disclosed scale, not actual company records.</x:v>
      </x:c>
    </x:row>
    <x:row r="42" ht="22" customHeight="1">
      <x:c r="A42" s="10" t="d">
        <x:v>2024-06-10T00:00:00.000Z</x:v>
      </x:c>
      <x:c r="B42" s="2" t="str">
        <x:v>Falak Extreme Basmati Rice 5 kg</x:v>
      </x:c>
      <x:c r="C42" s="2" t="str">
        <x:v>Pakistan domestic retail</x:v>
      </x:c>
      <x:c r="D42" s="11" t="n">
        <x:v>5556</x:v>
      </x:c>
      <x:c r="E42" s="11" t="n">
        <x:v>5611</x:v>
      </x:c>
      <x:c r="F42" s="11" t="n">
        <x:v>2500</x:v>
      </x:c>
      <x:c r="G42" s="11" t="n">
        <x:v>0</x:v>
      </x:c>
      <x:c r="H42" s="12" t="n">
        <x:v>0</x:v>
      </x:c>
      <x:c r="I42" s="11" t="n">
        <x:v>1</x:v>
      </x:c>
      <x:c r="J42" s="11" t="str">
        <x:v>Eid-ul-Adha</x:v>
      </x:c>
      <x:c r="K42" s="11" t="n">
        <x:v>1018</x:v>
      </x:c>
      <x:c r="L42" s="11" t="n">
        <x:v>0</x:v>
      </x:c>
      <x:c r="M42" s="2" t="str"/>
      <x:c r="N42" s="2" t="str">
        <x:v>Train</x:v>
      </x:c>
      <x:c r="O42" s="2" t="str">
        <x:v>Company-Calibrated Synthetic Dataset for Academic Analysis — illustrative figures, calibrated to Matco Foods Limited's disclosed scale, not actual company records.</x:v>
      </x:c>
    </x:row>
    <x:row r="43" ht="22" customHeight="1">
      <x:c r="A43" s="10" t="d">
        <x:v>2024-06-17T00:00:00.000Z</x:v>
      </x:c>
      <x:c r="B43" s="2" t="str">
        <x:v>Falak Extreme Basmati Rice 5 kg</x:v>
      </x:c>
      <x:c r="C43" s="2" t="str">
        <x:v>Pakistan domestic retail</x:v>
      </x:c>
      <x:c r="D43" s="11" t="n">
        <x:v>5235</x:v>
      </x:c>
      <x:c r="E43" s="11" t="n">
        <x:v>5509</x:v>
      </x:c>
      <x:c r="F43" s="11" t="n">
        <x:v>2500</x:v>
      </x:c>
      <x:c r="G43" s="11" t="n">
        <x:v>0</x:v>
      </x:c>
      <x:c r="H43" s="12" t="n">
        <x:v>0</x:v>
      </x:c>
      <x:c r="I43" s="11" t="n">
        <x:v>1</x:v>
      </x:c>
      <x:c r="J43" s="11" t="str">
        <x:v>Eid-ul-Adha</x:v>
      </x:c>
      <x:c r="K43" s="11" t="n">
        <x:v>1002</x:v>
      </x:c>
      <x:c r="L43" s="11" t="n">
        <x:v>0</x:v>
      </x:c>
      <x:c r="M43" s="2" t="str"/>
      <x:c r="N43" s="2" t="str">
        <x:v>Train</x:v>
      </x:c>
      <x:c r="O43" s="2" t="str">
        <x:v>Company-Calibrated Synthetic Dataset for Academic Analysis — illustrative figures, calibrated to Matco Foods Limited's disclosed scale, not actual company records.</x:v>
      </x:c>
    </x:row>
    <x:row r="44" ht="22" customHeight="1">
      <x:c r="A44" s="10" t="d">
        <x:v>2024-06-24T00:00:00.000Z</x:v>
      </x:c>
      <x:c r="B44" s="2" t="str">
        <x:v>Falak Extreme Basmati Rice 5 kg</x:v>
      </x:c>
      <x:c r="C44" s="2" t="str">
        <x:v>Pakistan domestic retail</x:v>
      </x:c>
      <x:c r="D44" s="11" t="n">
        <x:v>5009</x:v>
      </x:c>
      <x:c r="E44" s="11" t="n">
        <x:v>4926</x:v>
      </x:c>
      <x:c r="F44" s="11" t="n">
        <x:v>2500</x:v>
      </x:c>
      <x:c r="G44" s="11" t="n">
        <x:v>0</x:v>
      </x:c>
      <x:c r="H44" s="12" t="n">
        <x:v>0</x:v>
      </x:c>
      <x:c r="I44" s="11" t="n">
        <x:v>0</x:v>
      </x:c>
      <x:c r="J44" s="11" t="str"/>
      <x:c r="K44" s="11" t="n">
        <x:v>998</x:v>
      </x:c>
      <x:c r="L44" s="11" t="n">
        <x:v>0</x:v>
      </x:c>
      <x:c r="M44" s="2" t="str"/>
      <x:c r="N44" s="2" t="str">
        <x:v>Train</x:v>
      </x:c>
      <x:c r="O44" s="2" t="str">
        <x:v>Company-Calibrated Synthetic Dataset for Academic Analysis — illustrative figures, calibrated to Matco Foods Limited's disclosed scale, not actual company records.</x:v>
      </x:c>
    </x:row>
    <x:row r="45" ht="22" customHeight="1">
      <x:c r="A45" s="10" t="d">
        <x:v>2024-07-01T00:00:00.000Z</x:v>
      </x:c>
      <x:c r="B45" s="2" t="str">
        <x:v>Falak Extreme Basmati Rice 5 kg</x:v>
      </x:c>
      <x:c r="C45" s="2" t="str">
        <x:v>Pakistan domestic retail</x:v>
      </x:c>
      <x:c r="D45" s="11" t="n">
        <x:v>5126</x:v>
      </x:c>
      <x:c r="E45" s="11" t="n">
        <x:v>4904</x:v>
      </x:c>
      <x:c r="F45" s="11" t="n">
        <x:v>2500</x:v>
      </x:c>
      <x:c r="G45" s="11" t="n">
        <x:v>0</x:v>
      </x:c>
      <x:c r="H45" s="12" t="n">
        <x:v>0</x:v>
      </x:c>
      <x:c r="I45" s="11" t="n">
        <x:v>0</x:v>
      </x:c>
      <x:c r="J45" s="11" t="str"/>
      <x:c r="K45" s="11" t="n">
        <x:v>998</x:v>
      </x:c>
      <x:c r="L45" s="11" t="n">
        <x:v>0</x:v>
      </x:c>
      <x:c r="M45" s="2" t="str"/>
      <x:c r="N45" s="2" t="str">
        <x:v>Train</x:v>
      </x:c>
      <x:c r="O45" s="2" t="str">
        <x:v>Company-Calibrated Synthetic Dataset for Academic Analysis — illustrative figures, calibrated to Matco Foods Limited's disclosed scale, not actual company records.</x:v>
      </x:c>
    </x:row>
    <x:row r="46" ht="22" customHeight="1">
      <x:c r="A46" s="10" t="d">
        <x:v>2024-07-08T00:00:00.000Z</x:v>
      </x:c>
      <x:c r="B46" s="2" t="str">
        <x:v>Falak Extreme Basmati Rice 5 kg</x:v>
      </x:c>
      <x:c r="C46" s="2" t="str">
        <x:v>Pakistan domestic retail</x:v>
      </x:c>
      <x:c r="D46" s="11" t="n">
        <x:v>4409</x:v>
      </x:c>
      <x:c r="E46" s="11" t="n">
        <x:v>4903</x:v>
      </x:c>
      <x:c r="F46" s="11" t="n">
        <x:v>2600</x:v>
      </x:c>
      <x:c r="G46" s="11" t="n">
        <x:v>0</x:v>
      </x:c>
      <x:c r="H46" s="12" t="n">
        <x:v>0</x:v>
      </x:c>
      <x:c r="I46" s="11" t="n">
        <x:v>0</x:v>
      </x:c>
      <x:c r="J46" s="11" t="str"/>
      <x:c r="K46" s="11" t="n">
        <x:v>1020</x:v>
      </x:c>
      <x:c r="L46" s="11" t="n">
        <x:v>0</x:v>
      </x:c>
      <x:c r="M46" s="2" t="str"/>
      <x:c r="N46" s="2" t="str">
        <x:v>Train</x:v>
      </x:c>
      <x:c r="O46" s="2" t="str">
        <x:v>Company-Calibrated Synthetic Dataset for Academic Analysis — illustrative figures, calibrated to Matco Foods Limited's disclosed scale, not actual company records.</x:v>
      </x:c>
    </x:row>
    <x:row r="47" ht="22" customHeight="1">
      <x:c r="A47" s="10" t="d">
        <x:v>2024-07-15T00:00:00.000Z</x:v>
      </x:c>
      <x:c r="B47" s="2" t="str">
        <x:v>Falak Extreme Basmati Rice 5 kg</x:v>
      </x:c>
      <x:c r="C47" s="2" t="str">
        <x:v>Pakistan domestic retail</x:v>
      </x:c>
      <x:c r="D47" s="11" t="n">
        <x:v>6686</x:v>
      </x:c>
      <x:c r="E47" s="11" t="n">
        <x:v>5348</x:v>
      </x:c>
      <x:c r="F47" s="11" t="n">
        <x:v>2600</x:v>
      </x:c>
      <x:c r="G47" s="11" t="n">
        <x:v>1</x:v>
      </x:c>
      <x:c r="H47" s="12" t="n">
        <x:v>0.12</x:v>
      </x:c>
      <x:c r="I47" s="11" t="n">
        <x:v>0</x:v>
      </x:c>
      <x:c r="J47" s="11" t="str"/>
      <x:c r="K47" s="11" t="n">
        <x:v>1002</x:v>
      </x:c>
      <x:c r="L47" s="11" t="n">
        <x:v>0</x:v>
      </x:c>
      <x:c r="M47" s="2" t="str"/>
      <x:c r="N47" s="2" t="str">
        <x:v>Train</x:v>
      </x:c>
      <x:c r="O47" s="2" t="str">
        <x:v>Company-Calibrated Synthetic Dataset for Academic Analysis — illustrative figures, calibrated to Matco Foods Limited's disclosed scale, not actual company records.</x:v>
      </x:c>
    </x:row>
    <x:row r="48" ht="22" customHeight="1">
      <x:c r="A48" s="10" t="d">
        <x:v>2024-07-22T00:00:00.000Z</x:v>
      </x:c>
      <x:c r="B48" s="2" t="str">
        <x:v>Falak Extreme Basmati Rice 5 kg</x:v>
      </x:c>
      <x:c r="C48" s="2" t="str">
        <x:v>Pakistan domestic retail</x:v>
      </x:c>
      <x:c r="D48" s="11" t="n">
        <x:v>4320</x:v>
      </x:c>
      <x:c r="E48" s="11" t="n">
        <x:v>4865</x:v>
      </x:c>
      <x:c r="F48" s="11" t="n">
        <x:v>2600</x:v>
      </x:c>
      <x:c r="G48" s="11" t="n">
        <x:v>0</x:v>
      </x:c>
      <x:c r="H48" s="12" t="n">
        <x:v>0</x:v>
      </x:c>
      <x:c r="I48" s="11" t="n">
        <x:v>0</x:v>
      </x:c>
      <x:c r="J48" s="11" t="str"/>
      <x:c r="K48" s="11" t="n">
        <x:v>1009</x:v>
      </x:c>
      <x:c r="L48" s="11" t="n">
        <x:v>0</x:v>
      </x:c>
      <x:c r="M48" s="2" t="str"/>
      <x:c r="N48" s="2" t="str">
        <x:v>Train</x:v>
      </x:c>
      <x:c r="O48" s="2" t="str">
        <x:v>Company-Calibrated Synthetic Dataset for Academic Analysis — illustrative figures, calibrated to Matco Foods Limited's disclosed scale, not actual company records.</x:v>
      </x:c>
    </x:row>
    <x:row r="49" ht="22" customHeight="1">
      <x:c r="A49" s="10" t="d">
        <x:v>2024-07-29T00:00:00.000Z</x:v>
      </x:c>
      <x:c r="B49" s="2" t="str">
        <x:v>Falak Extreme Basmati Rice 5 kg</x:v>
      </x:c>
      <x:c r="C49" s="2" t="str">
        <x:v>Pakistan domestic retail</x:v>
      </x:c>
      <x:c r="D49" s="11" t="n">
        <x:v>4468</x:v>
      </x:c>
      <x:c r="E49" s="11" t="n">
        <x:v>4900</x:v>
      </x:c>
      <x:c r="F49" s="11" t="n">
        <x:v>2600</x:v>
      </x:c>
      <x:c r="G49" s="11" t="n">
        <x:v>0</x:v>
      </x:c>
      <x:c r="H49" s="12" t="n">
        <x:v>0</x:v>
      </x:c>
      <x:c r="I49" s="11" t="n">
        <x:v>0</x:v>
      </x:c>
      <x:c r="J49" s="11" t="str"/>
      <x:c r="K49" s="11" t="n">
        <x:v>1017</x:v>
      </x:c>
      <x:c r="L49" s="11" t="n">
        <x:v>0</x:v>
      </x:c>
      <x:c r="M49" s="2" t="str"/>
      <x:c r="N49" s="2" t="str">
        <x:v>Train</x:v>
      </x:c>
      <x:c r="O49" s="2" t="str">
        <x:v>Company-Calibrated Synthetic Dataset for Academic Analysis — illustrative figures, calibrated to Matco Foods Limited's disclosed scale, not actual company records.</x:v>
      </x:c>
    </x:row>
    <x:row r="50" ht="22" customHeight="1">
      <x:c r="A50" s="10" t="d">
        <x:v>2024-08-05T00:00:00.000Z</x:v>
      </x:c>
      <x:c r="B50" s="2" t="str">
        <x:v>Falak Extreme Basmati Rice 5 kg</x:v>
      </x:c>
      <x:c r="C50" s="2" t="str">
        <x:v>Pakistan domestic retail</x:v>
      </x:c>
      <x:c r="D50" s="11" t="n">
        <x:v>4875</x:v>
      </x:c>
      <x:c r="E50" s="11" t="n">
        <x:v>5336</x:v>
      </x:c>
      <x:c r="F50" s="11" t="n">
        <x:v>2600</x:v>
      </x:c>
      <x:c r="G50" s="11" t="n">
        <x:v>1</x:v>
      </x:c>
      <x:c r="H50" s="12" t="n">
        <x:v>0.1</x:v>
      </x:c>
      <x:c r="I50" s="11" t="n">
        <x:v>0</x:v>
      </x:c>
      <x:c r="J50" s="11" t="str"/>
      <x:c r="K50" s="11" t="n">
        <x:v>1023</x:v>
      </x:c>
      <x:c r="L50" s="11" t="n">
        <x:v>0</x:v>
      </x:c>
      <x:c r="M50" s="2" t="str">
        <x:v>Illustrative competitor discount campaign</x:v>
      </x:c>
      <x:c r="N50" s="2" t="str">
        <x:v>Train</x:v>
      </x:c>
      <x:c r="O50" s="2" t="str">
        <x:v>Company-Calibrated Synthetic Dataset for Academic Analysis — illustrative figures, calibrated to Matco Foods Limited's disclosed scale, not actual company records.</x:v>
      </x:c>
    </x:row>
    <x:row r="51" ht="22" customHeight="1">
      <x:c r="A51" s="10" t="d">
        <x:v>2024-08-12T00:00:00.000Z</x:v>
      </x:c>
      <x:c r="B51" s="2" t="str">
        <x:v>Falak Extreme Basmati Rice 5 kg</x:v>
      </x:c>
      <x:c r="C51" s="2" t="str">
        <x:v>Pakistan domestic retail</x:v>
      </x:c>
      <x:c r="D51" s="11" t="n">
        <x:v>4287</x:v>
      </x:c>
      <x:c r="E51" s="11" t="n">
        <x:v>4973</x:v>
      </x:c>
      <x:c r="F51" s="11" t="n">
        <x:v>2600</x:v>
      </x:c>
      <x:c r="G51" s="11" t="n">
        <x:v>0</x:v>
      </x:c>
      <x:c r="H51" s="12" t="n">
        <x:v>0</x:v>
      </x:c>
      <x:c r="I51" s="11" t="n">
        <x:v>0</x:v>
      </x:c>
      <x:c r="J51" s="11" t="str"/>
      <x:c r="K51" s="11" t="n">
        <x:v>1031</x:v>
      </x:c>
      <x:c r="L51" s="11" t="n">
        <x:v>0</x:v>
      </x:c>
      <x:c r="M51" s="2" t="str">
        <x:v>Illustrative competitor discount campaign</x:v>
      </x:c>
      <x:c r="N51" s="2" t="str">
        <x:v>Train</x:v>
      </x:c>
      <x:c r="O51" s="2" t="str">
        <x:v>Company-Calibrated Synthetic Dataset for Academic Analysis — illustrative figures, calibrated to Matco Foods Limited's disclosed scale, not actual company records.</x:v>
      </x:c>
    </x:row>
    <x:row r="52" ht="22" customHeight="1">
      <x:c r="A52" s="10" t="d">
        <x:v>2024-08-19T00:00:00.000Z</x:v>
      </x:c>
      <x:c r="B52" s="2" t="str">
        <x:v>Falak Extreme Basmati Rice 5 kg</x:v>
      </x:c>
      <x:c r="C52" s="2" t="str">
        <x:v>Pakistan domestic retail</x:v>
      </x:c>
      <x:c r="D52" s="11" t="n">
        <x:v>5676</x:v>
      </x:c>
      <x:c r="E52" s="11" t="n">
        <x:v>5016</x:v>
      </x:c>
      <x:c r="F52" s="11" t="n">
        <x:v>2600</x:v>
      </x:c>
      <x:c r="G52" s="11" t="n">
        <x:v>0</x:v>
      </x:c>
      <x:c r="H52" s="12" t="n">
        <x:v>0</x:v>
      </x:c>
      <x:c r="I52" s="11" t="n">
        <x:v>0</x:v>
      </x:c>
      <x:c r="J52" s="11" t="str"/>
      <x:c r="K52" s="11" t="n">
        <x:v>1037</x:v>
      </x:c>
      <x:c r="L52" s="11" t="n">
        <x:v>0</x:v>
      </x:c>
      <x:c r="M52" s="2" t="str"/>
      <x:c r="N52" s="2" t="str">
        <x:v>Train</x:v>
      </x:c>
      <x:c r="O52" s="2" t="str">
        <x:v>Company-Calibrated Synthetic Dataset for Academic Analysis — illustrative figures, calibrated to Matco Foods Limited's disclosed scale, not actual company records.</x:v>
      </x:c>
    </x:row>
    <x:row r="53" ht="22" customHeight="1">
      <x:c r="A53" s="10" t="d">
        <x:v>2024-08-26T00:00:00.000Z</x:v>
      </x:c>
      <x:c r="B53" s="2" t="str">
        <x:v>Falak Extreme Basmati Rice 5 kg</x:v>
      </x:c>
      <x:c r="C53" s="2" t="str">
        <x:v>Pakistan domestic retail</x:v>
      </x:c>
      <x:c r="D53" s="11" t="n">
        <x:v>5543</x:v>
      </x:c>
      <x:c r="E53" s="11" t="n">
        <x:v>5050</x:v>
      </x:c>
      <x:c r="F53" s="11" t="n">
        <x:v>2600</x:v>
      </x:c>
      <x:c r="G53" s="11" t="n">
        <x:v>0</x:v>
      </x:c>
      <x:c r="H53" s="12" t="n">
        <x:v>0</x:v>
      </x:c>
      <x:c r="I53" s="11" t="n">
        <x:v>0</x:v>
      </x:c>
      <x:c r="J53" s="11" t="str"/>
      <x:c r="K53" s="11" t="n">
        <x:v>1029</x:v>
      </x:c>
      <x:c r="L53" s="11" t="n">
        <x:v>0</x:v>
      </x:c>
      <x:c r="M53" s="2" t="str"/>
      <x:c r="N53" s="2" t="str">
        <x:v>Train</x:v>
      </x:c>
      <x:c r="O53" s="2" t="str">
        <x:v>Company-Calibrated Synthetic Dataset for Academic Analysis — illustrative figures, calibrated to Matco Foods Limited's disclosed scale, not actual company records.</x:v>
      </x:c>
    </x:row>
    <x:row r="54" ht="22" customHeight="1">
      <x:c r="A54" s="10" t="d">
        <x:v>2024-09-02T00:00:00.000Z</x:v>
      </x:c>
      <x:c r="B54" s="2" t="str">
        <x:v>Falak Extreme Basmati Rice 5 kg</x:v>
      </x:c>
      <x:c r="C54" s="2" t="str">
        <x:v>Pakistan domestic retail</x:v>
      </x:c>
      <x:c r="D54" s="11" t="n">
        <x:v>5986</x:v>
      </x:c>
      <x:c r="E54" s="11" t="n">
        <x:v>5418</x:v>
      </x:c>
      <x:c r="F54" s="11" t="n">
        <x:v>2600</x:v>
      </x:c>
      <x:c r="G54" s="11" t="n">
        <x:v>1</x:v>
      </x:c>
      <x:c r="H54" s="12" t="n">
        <x:v>0.1</x:v>
      </x:c>
      <x:c r="I54" s="11" t="n">
        <x:v>0</x:v>
      </x:c>
      <x:c r="J54" s="11" t="str"/>
      <x:c r="K54" s="11" t="n">
        <x:v>1045</x:v>
      </x:c>
      <x:c r="L54" s="11" t="n">
        <x:v>0</x:v>
      </x:c>
      <x:c r="M54" s="2" t="str"/>
      <x:c r="N54" s="2" t="str">
        <x:v>Train</x:v>
      </x:c>
      <x:c r="O54" s="2" t="str">
        <x:v>Company-Calibrated Synthetic Dataset for Academic Analysis — illustrative figures, calibrated to Matco Foods Limited's disclosed scale, not actual company records.</x:v>
      </x:c>
    </x:row>
    <x:row r="55" ht="22" customHeight="1">
      <x:c r="A55" s="10" t="d">
        <x:v>2024-09-09T00:00:00.000Z</x:v>
      </x:c>
      <x:c r="B55" s="2" t="str">
        <x:v>Falak Extreme Basmati Rice 5 kg</x:v>
      </x:c>
      <x:c r="C55" s="2" t="str">
        <x:v>Pakistan domestic retail</x:v>
      </x:c>
      <x:c r="D55" s="11" t="n">
        <x:v>5184</x:v>
      </x:c>
      <x:c r="E55" s="11" t="n">
        <x:v>5101</x:v>
      </x:c>
      <x:c r="F55" s="11" t="n">
        <x:v>2600</x:v>
      </x:c>
      <x:c r="G55" s="11" t="n">
        <x:v>0</x:v>
      </x:c>
      <x:c r="H55" s="12" t="n">
        <x:v>0</x:v>
      </x:c>
      <x:c r="I55" s="11" t="n">
        <x:v>0</x:v>
      </x:c>
      <x:c r="J55" s="11" t="str"/>
      <x:c r="K55" s="11" t="n">
        <x:v>1060</x:v>
      </x:c>
      <x:c r="L55" s="11" t="n">
        <x:v>0</x:v>
      </x:c>
      <x:c r="M55" s="2" t="str"/>
      <x:c r="N55" s="2" t="str">
        <x:v>Train</x:v>
      </x:c>
      <x:c r="O55" s="2" t="str">
        <x:v>Company-Calibrated Synthetic Dataset for Academic Analysis — illustrative figures, calibrated to Matco Foods Limited's disclosed scale, not actual company records.</x:v>
      </x:c>
    </x:row>
    <x:row r="56" ht="22" customHeight="1">
      <x:c r="A56" s="10" t="d">
        <x:v>2024-09-16T00:00:00.000Z</x:v>
      </x:c>
      <x:c r="B56" s="2" t="str">
        <x:v>Falak Extreme Basmati Rice 5 kg</x:v>
      </x:c>
      <x:c r="C56" s="2" t="str">
        <x:v>Pakistan domestic retail</x:v>
      </x:c>
      <x:c r="D56" s="11" t="n">
        <x:v>5454</x:v>
      </x:c>
      <x:c r="E56" s="11" t="n">
        <x:v>5182</x:v>
      </x:c>
      <x:c r="F56" s="11" t="n">
        <x:v>2600</x:v>
      </x:c>
      <x:c r="G56" s="11" t="n">
        <x:v>0</x:v>
      </x:c>
      <x:c r="H56" s="12" t="n">
        <x:v>0</x:v>
      </x:c>
      <x:c r="I56" s="11" t="n">
        <x:v>0</x:v>
      </x:c>
      <x:c r="J56" s="11" t="str"/>
      <x:c r="K56" s="11" t="n">
        <x:v>1072</x:v>
      </x:c>
      <x:c r="L56" s="11" t="n">
        <x:v>0</x:v>
      </x:c>
      <x:c r="M56" s="2" t="str"/>
      <x:c r="N56" s="2" t="str">
        <x:v>Train</x:v>
      </x:c>
      <x:c r="O56" s="2" t="str">
        <x:v>Company-Calibrated Synthetic Dataset for Academic Analysis — illustrative figures, calibrated to Matco Foods Limited's disclosed scale, not actual company records.</x:v>
      </x:c>
    </x:row>
    <x:row r="57" ht="22" customHeight="1">
      <x:c r="A57" s="10" t="d">
        <x:v>2024-09-23T00:00:00.000Z</x:v>
      </x:c>
      <x:c r="B57" s="2" t="str">
        <x:v>Falak Extreme Basmati Rice 5 kg</x:v>
      </x:c>
      <x:c r="C57" s="2" t="str">
        <x:v>Pakistan domestic retail</x:v>
      </x:c>
      <x:c r="D57" s="11" t="n">
        <x:v>4799</x:v>
      </x:c>
      <x:c r="E57" s="11" t="n">
        <x:v>5248</x:v>
      </x:c>
      <x:c r="F57" s="11" t="n">
        <x:v>2600</x:v>
      </x:c>
      <x:c r="G57" s="11" t="n">
        <x:v>0</x:v>
      </x:c>
      <x:c r="H57" s="12" t="n">
        <x:v>0</x:v>
      </x:c>
      <x:c r="I57" s="11" t="n">
        <x:v>0</x:v>
      </x:c>
      <x:c r="J57" s="11" t="str"/>
      <x:c r="K57" s="11" t="n">
        <x:v>1059</x:v>
      </x:c>
      <x:c r="L57" s="11" t="n">
        <x:v>0</x:v>
      </x:c>
      <x:c r="M57" s="2" t="str"/>
      <x:c r="N57" s="2" t="str">
        <x:v>Train</x:v>
      </x:c>
      <x:c r="O57" s="2" t="str">
        <x:v>Company-Calibrated Synthetic Dataset for Academic Analysis — illustrative figures, calibrated to Matco Foods Limited's disclosed scale, not actual company records.</x:v>
      </x:c>
    </x:row>
    <x:row r="58" ht="22" customHeight="1">
      <x:c r="A58" s="10" t="d">
        <x:v>2024-09-30T00:00:00.000Z</x:v>
      </x:c>
      <x:c r="B58" s="2" t="str">
        <x:v>Falak Extreme Basmati Rice 5 kg</x:v>
      </x:c>
      <x:c r="C58" s="2" t="str">
        <x:v>Pakistan domestic retail</x:v>
      </x:c>
      <x:c r="D58" s="11" t="n">
        <x:v>5358</x:v>
      </x:c>
      <x:c r="E58" s="11" t="n">
        <x:v>5193</x:v>
      </x:c>
      <x:c r="F58" s="11" t="n">
        <x:v>2600</x:v>
      </x:c>
      <x:c r="G58" s="11" t="n">
        <x:v>0</x:v>
      </x:c>
      <x:c r="H58" s="12" t="n">
        <x:v>0</x:v>
      </x:c>
      <x:c r="I58" s="11" t="n">
        <x:v>0</x:v>
      </x:c>
      <x:c r="J58" s="11" t="str"/>
      <x:c r="K58" s="11" t="n">
        <x:v>1079</x:v>
      </x:c>
      <x:c r="L58" s="11" t="n">
        <x:v>0</x:v>
      </x:c>
      <x:c r="M58" s="2" t="str"/>
      <x:c r="N58" s="2" t="str">
        <x:v>Train</x:v>
      </x:c>
      <x:c r="O58" s="2" t="str">
        <x:v>Company-Calibrated Synthetic Dataset for Academic Analysis — illustrative figures, calibrated to Matco Foods Limited's disclosed scale, not actual company records.</x:v>
      </x:c>
    </x:row>
    <x:row r="59" ht="22" customHeight="1">
      <x:c r="A59" s="10" t="d">
        <x:v>2024-10-07T00:00:00.000Z</x:v>
      </x:c>
      <x:c r="B59" s="2" t="str">
        <x:v>Falak Extreme Basmati Rice 5 kg</x:v>
      </x:c>
      <x:c r="C59" s="2" t="str">
        <x:v>Pakistan domestic retail</x:v>
      </x:c>
      <x:c r="D59" s="11" t="n">
        <x:v>6222</x:v>
      </x:c>
      <x:c r="E59" s="11" t="n">
        <x:v>5301</x:v>
      </x:c>
      <x:c r="F59" s="11" t="n">
        <x:v>2600</x:v>
      </x:c>
      <x:c r="G59" s="11" t="n">
        <x:v>0</x:v>
      </x:c>
      <x:c r="H59" s="12" t="n">
        <x:v>0</x:v>
      </x:c>
      <x:c r="I59" s="11" t="n">
        <x:v>0</x:v>
      </x:c>
      <x:c r="J59" s="11" t="str"/>
      <x:c r="K59" s="11" t="n">
        <x:v>1099</x:v>
      </x:c>
      <x:c r="L59" s="11" t="n">
        <x:v>0</x:v>
      </x:c>
      <x:c r="M59" s="2" t="str"/>
      <x:c r="N59" s="2" t="str">
        <x:v>Train</x:v>
      </x:c>
      <x:c r="O59" s="2" t="str">
        <x:v>Company-Calibrated Synthetic Dataset for Academic Analysis — illustrative figures, calibrated to Matco Foods Limited's disclosed scale, not actual company records.</x:v>
      </x:c>
    </x:row>
    <x:row r="60" ht="22" customHeight="1">
      <x:c r="A60" s="10" t="d">
        <x:v>2024-10-14T00:00:00.000Z</x:v>
      </x:c>
      <x:c r="B60" s="2" t="str">
        <x:v>Falak Extreme Basmati Rice 5 kg</x:v>
      </x:c>
      <x:c r="C60" s="2" t="str">
        <x:v>Pakistan domestic retail</x:v>
      </x:c>
      <x:c r="D60" s="11" t="n">
        <x:v>7222</x:v>
      </x:c>
      <x:c r="E60" s="11" t="n">
        <x:v>5841</x:v>
      </x:c>
      <x:c r="F60" s="11" t="n">
        <x:v>2600</x:v>
      </x:c>
      <x:c r="G60" s="11" t="n">
        <x:v>1</x:v>
      </x:c>
      <x:c r="H60" s="12" t="n">
        <x:v>0.12</x:v>
      </x:c>
      <x:c r="I60" s="11" t="n">
        <x:v>0</x:v>
      </x:c>
      <x:c r="J60" s="11" t="str"/>
      <x:c r="K60" s="11" t="n">
        <x:v>1079</x:v>
      </x:c>
      <x:c r="L60" s="11" t="n">
        <x:v>0</x:v>
      </x:c>
      <x:c r="M60" s="2" t="str"/>
      <x:c r="N60" s="2" t="str">
        <x:v>Train</x:v>
      </x:c>
      <x:c r="O60" s="2" t="str">
        <x:v>Company-Calibrated Synthetic Dataset for Academic Analysis — illustrative figures, calibrated to Matco Foods Limited's disclosed scale, not actual company records.</x:v>
      </x:c>
    </x:row>
    <x:row r="61" ht="22" customHeight="1">
      <x:c r="A61" s="10" t="d">
        <x:v>2024-10-21T00:00:00.000Z</x:v>
      </x:c>
      <x:c r="B61" s="2" t="str">
        <x:v>Falak Extreme Basmati Rice 5 kg</x:v>
      </x:c>
      <x:c r="C61" s="2" t="str">
        <x:v>Pakistan domestic retail</x:v>
      </x:c>
      <x:c r="D61" s="11" t="n">
        <x:v>5214</x:v>
      </x:c>
      <x:c r="E61" s="11" t="n">
        <x:v>5320</x:v>
      </x:c>
      <x:c r="F61" s="11" t="n">
        <x:v>2600</x:v>
      </x:c>
      <x:c r="G61" s="11" t="n">
        <x:v>0</x:v>
      </x:c>
      <x:c r="H61" s="12" t="n">
        <x:v>0</x:v>
      </x:c>
      <x:c r="I61" s="11" t="n">
        <x:v>0</x:v>
      </x:c>
      <x:c r="J61" s="11" t="str"/>
      <x:c r="K61" s="11" t="n">
        <x:v>1062</x:v>
      </x:c>
      <x:c r="L61" s="11" t="n">
        <x:v>0</x:v>
      </x:c>
      <x:c r="M61" s="2" t="str"/>
      <x:c r="N61" s="2" t="str">
        <x:v>Train</x:v>
      </x:c>
      <x:c r="O61" s="2" t="str">
        <x:v>Company-Calibrated Synthetic Dataset for Academic Analysis — illustrative figures, calibrated to Matco Foods Limited's disclosed scale, not actual company records.</x:v>
      </x:c>
    </x:row>
    <x:row r="62" ht="22" customHeight="1">
      <x:c r="A62" s="10" t="d">
        <x:v>2024-10-28T00:00:00.000Z</x:v>
      </x:c>
      <x:c r="B62" s="2" t="str">
        <x:v>Falak Extreme Basmati Rice 5 kg</x:v>
      </x:c>
      <x:c r="C62" s="2" t="str">
        <x:v>Pakistan domestic retail</x:v>
      </x:c>
      <x:c r="D62" s="11" t="n">
        <x:v>5458</x:v>
      </x:c>
      <x:c r="E62" s="11" t="n">
        <x:v>5246</x:v>
      </x:c>
      <x:c r="F62" s="11" t="n">
        <x:v>2600</x:v>
      </x:c>
      <x:c r="G62" s="11" t="n">
        <x:v>0</x:v>
      </x:c>
      <x:c r="H62" s="12" t="n">
        <x:v>0</x:v>
      </x:c>
      <x:c r="I62" s="11" t="n">
        <x:v>0</x:v>
      </x:c>
      <x:c r="J62" s="11" t="str"/>
      <x:c r="K62" s="11" t="n">
        <x:v>1073</x:v>
      </x:c>
      <x:c r="L62" s="11" t="n">
        <x:v>0</x:v>
      </x:c>
      <x:c r="M62" s="2" t="str"/>
      <x:c r="N62" s="2" t="str">
        <x:v>Train</x:v>
      </x:c>
      <x:c r="O62" s="2" t="str">
        <x:v>Company-Calibrated Synthetic Dataset for Academic Analysis — illustrative figures, calibrated to Matco Foods Limited's disclosed scale, not actual company records.</x:v>
      </x:c>
    </x:row>
    <x:row r="63" ht="22" customHeight="1">
      <x:c r="A63" s="10" t="d">
        <x:v>2024-11-04T00:00:00.000Z</x:v>
      </x:c>
      <x:c r="B63" s="2" t="str">
        <x:v>Falak Extreme Basmati Rice 5 kg</x:v>
      </x:c>
      <x:c r="C63" s="2" t="str">
        <x:v>Pakistan domestic retail</x:v>
      </x:c>
      <x:c r="D63" s="11" t="n">
        <x:v>5335</x:v>
      </x:c>
      <x:c r="E63" s="11" t="n">
        <x:v>5735</x:v>
      </x:c>
      <x:c r="F63" s="11" t="n">
        <x:v>2600</x:v>
      </x:c>
      <x:c r="G63" s="11" t="n">
        <x:v>1</x:v>
      </x:c>
      <x:c r="H63" s="12" t="n">
        <x:v>0.05</x:v>
      </x:c>
      <x:c r="I63" s="11" t="n">
        <x:v>0</x:v>
      </x:c>
      <x:c r="J63" s="11" t="str"/>
      <x:c r="K63" s="11" t="n">
        <x:v>1062</x:v>
      </x:c>
      <x:c r="L63" s="11" t="n">
        <x:v>0</x:v>
      </x:c>
      <x:c r="M63" s="2" t="str"/>
      <x:c r="N63" s="2" t="str">
        <x:v>Train</x:v>
      </x:c>
      <x:c r="O63" s="2" t="str">
        <x:v>Company-Calibrated Synthetic Dataset for Academic Analysis — illustrative figures, calibrated to Matco Foods Limited's disclosed scale, not actual company records.</x:v>
      </x:c>
    </x:row>
    <x:row r="64" ht="22" customHeight="1">
      <x:c r="A64" s="10" t="d">
        <x:v>2024-11-11T00:00:00.000Z</x:v>
      </x:c>
      <x:c r="B64" s="2" t="str">
        <x:v>Falak Extreme Basmati Rice 5 kg</x:v>
      </x:c>
      <x:c r="C64" s="2" t="str">
        <x:v>Pakistan domestic retail</x:v>
      </x:c>
      <x:c r="D64" s="11" t="n">
        <x:v>4779</x:v>
      </x:c>
      <x:c r="E64" s="11" t="n">
        <x:v>5266</x:v>
      </x:c>
      <x:c r="F64" s="11" t="n">
        <x:v>2600</x:v>
      </x:c>
      <x:c r="G64" s="11" t="n">
        <x:v>0</x:v>
      </x:c>
      <x:c r="H64" s="12" t="n">
        <x:v>0</x:v>
      </x:c>
      <x:c r="I64" s="11" t="n">
        <x:v>0</x:v>
      </x:c>
      <x:c r="J64" s="11" t="str"/>
      <x:c r="K64" s="11" t="n">
        <x:v>1026</x:v>
      </x:c>
      <x:c r="L64" s="11" t="n">
        <x:v>0</x:v>
      </x:c>
      <x:c r="M64" s="2" t="str"/>
      <x:c r="N64" s="2" t="str">
        <x:v>Train</x:v>
      </x:c>
      <x:c r="O64" s="2" t="str">
        <x:v>Company-Calibrated Synthetic Dataset for Academic Analysis — illustrative figures, calibrated to Matco Foods Limited's disclosed scale, not actual company records.</x:v>
      </x:c>
    </x:row>
    <x:row r="65" ht="22" customHeight="1">
      <x:c r="A65" s="10" t="d">
        <x:v>2024-11-18T00:00:00.000Z</x:v>
      </x:c>
      <x:c r="B65" s="2" t="str">
        <x:v>Falak Extreme Basmati Rice 5 kg</x:v>
      </x:c>
      <x:c r="C65" s="2" t="str">
        <x:v>Pakistan domestic retail</x:v>
      </x:c>
      <x:c r="D65" s="11" t="n">
        <x:v>5223</x:v>
      </x:c>
      <x:c r="E65" s="11" t="n">
        <x:v>5097</x:v>
      </x:c>
      <x:c r="F65" s="11" t="n">
        <x:v>2600</x:v>
      </x:c>
      <x:c r="G65" s="11" t="n">
        <x:v>0</x:v>
      </x:c>
      <x:c r="H65" s="12" t="n">
        <x:v>0</x:v>
      </x:c>
      <x:c r="I65" s="11" t="n">
        <x:v>0</x:v>
      </x:c>
      <x:c r="J65" s="11" t="str"/>
      <x:c r="K65" s="11" t="n">
        <x:v>1021</x:v>
      </x:c>
      <x:c r="L65" s="11" t="n">
        <x:v>0</x:v>
      </x:c>
      <x:c r="M65" s="2" t="str"/>
      <x:c r="N65" s="2" t="str">
        <x:v>Train</x:v>
      </x:c>
      <x:c r="O65" s="2" t="str">
        <x:v>Company-Calibrated Synthetic Dataset for Academic Analysis — illustrative figures, calibrated to Matco Foods Limited's disclosed scale, not actual company records.</x:v>
      </x:c>
    </x:row>
    <x:row r="66" ht="22" customHeight="1">
      <x:c r="A66" s="10" t="d">
        <x:v>2024-11-25T00:00:00.000Z</x:v>
      </x:c>
      <x:c r="B66" s="2" t="str">
        <x:v>Falak Extreme Basmati Rice 5 kg</x:v>
      </x:c>
      <x:c r="C66" s="2" t="str">
        <x:v>Pakistan domestic retail</x:v>
      </x:c>
      <x:c r="D66" s="11" t="n">
        <x:v>4941</x:v>
      </x:c>
      <x:c r="E66" s="11" t="n">
        <x:v>5081</x:v>
      </x:c>
      <x:c r="F66" s="11" t="n">
        <x:v>2550</x:v>
      </x:c>
      <x:c r="G66" s="11" t="n">
        <x:v>0</x:v>
      </x:c>
      <x:c r="H66" s="12" t="n">
        <x:v>0</x:v>
      </x:c>
      <x:c r="I66" s="11" t="n">
        <x:v>0</x:v>
      </x:c>
      <x:c r="J66" s="11" t="str"/>
      <x:c r="K66" s="11" t="n">
        <x:v>1026</x:v>
      </x:c>
      <x:c r="L66" s="11" t="n">
        <x:v>0</x:v>
      </x:c>
      <x:c r="M66" s="2" t="str"/>
      <x:c r="N66" s="2" t="str">
        <x:v>Train</x:v>
      </x:c>
      <x:c r="O66" s="2" t="str">
        <x:v>Company-Calibrated Synthetic Dataset for Academic Analysis — illustrative figures, calibrated to Matco Foods Limited's disclosed scale, not actual company records.</x:v>
      </x:c>
    </x:row>
    <x:row r="67" ht="22" customHeight="1">
      <x:c r="A67" s="10" t="d">
        <x:v>2024-12-02T00:00:00.000Z</x:v>
      </x:c>
      <x:c r="B67" s="2" t="str">
        <x:v>Falak Extreme Basmati Rice 5 kg</x:v>
      </x:c>
      <x:c r="C67" s="2" t="str">
        <x:v>Pakistan domestic retail</x:v>
      </x:c>
      <x:c r="D67" s="11" t="n">
        <x:v>7721</x:v>
      </x:c>
      <x:c r="E67" s="11" t="n">
        <x:v>5556</x:v>
      </x:c>
      <x:c r="F67" s="11" t="n">
        <x:v>2550</x:v>
      </x:c>
      <x:c r="G67" s="11" t="n">
        <x:v>1</x:v>
      </x:c>
      <x:c r="H67" s="12" t="n">
        <x:v>0.12</x:v>
      </x:c>
      <x:c r="I67" s="11" t="n">
        <x:v>0</x:v>
      </x:c>
      <x:c r="J67" s="11" t="str"/>
      <x:c r="K67" s="11" t="n">
        <x:v>1020</x:v>
      </x:c>
      <x:c r="L67" s="11" t="n">
        <x:v>0</x:v>
      </x:c>
      <x:c r="M67" s="2" t="str"/>
      <x:c r="N67" s="2" t="str">
        <x:v>Train</x:v>
      </x:c>
      <x:c r="O67" s="2" t="str">
        <x:v>Company-Calibrated Synthetic Dataset for Academic Analysis — illustrative figures, calibrated to Matco Foods Limited's disclosed scale, not actual company records.</x:v>
      </x:c>
    </x:row>
    <x:row r="68" ht="22" customHeight="1">
      <x:c r="A68" s="10" t="d">
        <x:v>2024-12-09T00:00:00.000Z</x:v>
      </x:c>
      <x:c r="B68" s="2" t="str">
        <x:v>Falak Extreme Basmati Rice 5 kg</x:v>
      </x:c>
      <x:c r="C68" s="2" t="str">
        <x:v>Pakistan domestic retail</x:v>
      </x:c>
      <x:c r="D68" s="11" t="n">
        <x:v>5179</x:v>
      </x:c>
      <x:c r="E68" s="11" t="n">
        <x:v>5123</x:v>
      </x:c>
      <x:c r="F68" s="11" t="n">
        <x:v>2550</x:v>
      </x:c>
      <x:c r="G68" s="11" t="n">
        <x:v>0</x:v>
      </x:c>
      <x:c r="H68" s="12" t="n">
        <x:v>0</x:v>
      </x:c>
      <x:c r="I68" s="11" t="n">
        <x:v>0</x:v>
      </x:c>
      <x:c r="J68" s="11" t="str"/>
      <x:c r="K68" s="11" t="n">
        <x:v>1014</x:v>
      </x:c>
      <x:c r="L68" s="11" t="n">
        <x:v>0</x:v>
      </x:c>
      <x:c r="M68" s="2" t="str"/>
      <x:c r="N68" s="2" t="str">
        <x:v>Train</x:v>
      </x:c>
      <x:c r="O68" s="2" t="str">
        <x:v>Company-Calibrated Synthetic Dataset for Academic Analysis — illustrative figures, calibrated to Matco Foods Limited's disclosed scale, not actual company records.</x:v>
      </x:c>
    </x:row>
    <x:row r="69" ht="22" customHeight="1">
      <x:c r="A69" s="10" t="d">
        <x:v>2024-12-16T00:00:00.000Z</x:v>
      </x:c>
      <x:c r="B69" s="2" t="str">
        <x:v>Falak Extreme Basmati Rice 5 kg</x:v>
      </x:c>
      <x:c r="C69" s="2" t="str">
        <x:v>Pakistan domestic retail</x:v>
      </x:c>
      <x:c r="D69" s="11" t="n">
        <x:v>5240</x:v>
      </x:c>
      <x:c r="E69" s="11" t="n">
        <x:v>5101</x:v>
      </x:c>
      <x:c r="F69" s="11" t="n">
        <x:v>2550</x:v>
      </x:c>
      <x:c r="G69" s="11" t="n">
        <x:v>0</x:v>
      </x:c>
      <x:c r="H69" s="12" t="n">
        <x:v>0</x:v>
      </x:c>
      <x:c r="I69" s="11" t="n">
        <x:v>0</x:v>
      </x:c>
      <x:c r="J69" s="11" t="str"/>
      <x:c r="K69" s="11" t="n">
        <x:v>1011</x:v>
      </x:c>
      <x:c r="L69" s="11" t="n">
        <x:v>0</x:v>
      </x:c>
      <x:c r="M69" s="2" t="str"/>
      <x:c r="N69" s="2" t="str">
        <x:v>Train</x:v>
      </x:c>
      <x:c r="O69" s="2" t="str">
        <x:v>Company-Calibrated Synthetic Dataset for Academic Analysis — illustrative figures, calibrated to Matco Foods Limited's disclosed scale, not actual company records.</x:v>
      </x:c>
    </x:row>
    <x:row r="70" ht="22" customHeight="1">
      <x:c r="A70" s="10" t="d">
        <x:v>2024-12-23T00:00:00.000Z</x:v>
      </x:c>
      <x:c r="B70" s="2" t="str">
        <x:v>Falak Extreme Basmati Rice 5 kg</x:v>
      </x:c>
      <x:c r="C70" s="2" t="str">
        <x:v>Pakistan domestic retail</x:v>
      </x:c>
      <x:c r="D70" s="11" t="n">
        <x:v>5399</x:v>
      </x:c>
      <x:c r="E70" s="11" t="n">
        <x:v>5093</x:v>
      </x:c>
      <x:c r="F70" s="11" t="n">
        <x:v>2550</x:v>
      </x:c>
      <x:c r="G70" s="11" t="n">
        <x:v>0</x:v>
      </x:c>
      <x:c r="H70" s="12" t="n">
        <x:v>0</x:v>
      </x:c>
      <x:c r="I70" s="11" t="n">
        <x:v>0</x:v>
      </x:c>
      <x:c r="J70" s="11" t="str"/>
      <x:c r="K70" s="11" t="n">
        <x:v>1017</x:v>
      </x:c>
      <x:c r="L70" s="11" t="n">
        <x:v>0</x:v>
      </x:c>
      <x:c r="M70" s="2" t="str"/>
      <x:c r="N70" s="2" t="str">
        <x:v>Train</x:v>
      </x:c>
      <x:c r="O70" s="2" t="str">
        <x:v>Company-Calibrated Synthetic Dataset for Academic Analysis — illustrative figures, calibrated to Matco Foods Limited's disclosed scale, not actual company records.</x:v>
      </x:c>
    </x:row>
    <x:row r="71" ht="22" customHeight="1">
      <x:c r="A71" s="10" t="d">
        <x:v>2024-12-30T00:00:00.000Z</x:v>
      </x:c>
      <x:c r="B71" s="2" t="str">
        <x:v>Falak Extreme Basmati Rice 5 kg</x:v>
      </x:c>
      <x:c r="C71" s="2" t="str">
        <x:v>Pakistan domestic retail</x:v>
      </x:c>
      <x:c r="D71" s="11" t="n">
        <x:v>5258</x:v>
      </x:c>
      <x:c r="E71" s="11" t="n">
        <x:v>5130</x:v>
      </x:c>
      <x:c r="F71" s="11" t="n">
        <x:v>2550</x:v>
      </x:c>
      <x:c r="G71" s="11" t="n">
        <x:v>0</x:v>
      </x:c>
      <x:c r="H71" s="12" t="n">
        <x:v>0</x:v>
      </x:c>
      <x:c r="I71" s="11" t="n">
        <x:v>0</x:v>
      </x:c>
      <x:c r="J71" s="11" t="str"/>
      <x:c r="K71" s="11" t="n">
        <x:v>1053</x:v>
      </x:c>
      <x:c r="L71" s="11" t="n">
        <x:v>0</x:v>
      </x:c>
      <x:c r="M71" s="2" t="str"/>
      <x:c r="N71" s="2" t="str">
        <x:v>Train</x:v>
      </x:c>
      <x:c r="O71" s="2" t="str">
        <x:v>Company-Calibrated Synthetic Dataset for Academic Analysis — illustrative figures, calibrated to Matco Foods Limited's disclosed scale, not actual company records.</x:v>
      </x:c>
    </x:row>
    <x:row r="72" ht="22" customHeight="1">
      <x:c r="A72" s="10" t="d">
        <x:v>2025-01-06T00:00:00.000Z</x:v>
      </x:c>
      <x:c r="B72" s="2" t="str">
        <x:v>Falak Extreme Basmati Rice 5 kg</x:v>
      </x:c>
      <x:c r="C72" s="2" t="str">
        <x:v>Pakistan domestic retail</x:v>
      </x:c>
      <x:c r="D72" s="11" t="n">
        <x:v>5143</x:v>
      </x:c>
      <x:c r="E72" s="11" t="n">
        <x:v>5317</x:v>
      </x:c>
      <x:c r="F72" s="11" t="n">
        <x:v>2550</x:v>
      </x:c>
      <x:c r="G72" s="11" t="n">
        <x:v>0</x:v>
      </x:c>
      <x:c r="H72" s="12" t="n">
        <x:v>0</x:v>
      </x:c>
      <x:c r="I72" s="11" t="n">
        <x:v>0</x:v>
      </x:c>
      <x:c r="J72" s="11" t="str"/>
      <x:c r="K72" s="11" t="n">
        <x:v>1043</x:v>
      </x:c>
      <x:c r="L72" s="11" t="n">
        <x:v>0</x:v>
      </x:c>
      <x:c r="M72" s="2" t="str"/>
      <x:c r="N72" s="2" t="str">
        <x:v>Train</x:v>
      </x:c>
      <x:c r="O72" s="2" t="str">
        <x:v>Company-Calibrated Synthetic Dataset for Academic Analysis — illustrative figures, calibrated to Matco Foods Limited's disclosed scale, not actual company records.</x:v>
      </x:c>
    </x:row>
    <x:row r="73" ht="22" customHeight="1">
      <x:c r="A73" s="10" t="d">
        <x:v>2025-01-13T00:00:00.000Z</x:v>
      </x:c>
      <x:c r="B73" s="2" t="str">
        <x:v>Falak Extreme Basmati Rice 5 kg</x:v>
      </x:c>
      <x:c r="C73" s="2" t="str">
        <x:v>Pakistan domestic retail</x:v>
      </x:c>
      <x:c r="D73" s="11" t="n">
        <x:v>6114</x:v>
      </x:c>
      <x:c r="E73" s="11" t="n">
        <x:v>5693</x:v>
      </x:c>
      <x:c r="F73" s="11" t="n">
        <x:v>2550</x:v>
      </x:c>
      <x:c r="G73" s="11" t="n">
        <x:v>1</x:v>
      </x:c>
      <x:c r="H73" s="12" t="n">
        <x:v>0.12</x:v>
      </x:c>
      <x:c r="I73" s="11" t="n">
        <x:v>0</x:v>
      </x:c>
      <x:c r="J73" s="11" t="str"/>
      <x:c r="K73" s="11" t="n">
        <x:v>1024</x:v>
      </x:c>
      <x:c r="L73" s="11" t="n">
        <x:v>0</x:v>
      </x:c>
      <x:c r="M73" s="2" t="str"/>
      <x:c r="N73" s="2" t="str">
        <x:v>Train</x:v>
      </x:c>
      <x:c r="O73" s="2" t="str">
        <x:v>Company-Calibrated Synthetic Dataset for Academic Analysis — illustrative figures, calibrated to Matco Foods Limited's disclosed scale, not actual company records.</x:v>
      </x:c>
    </x:row>
    <x:row r="74" ht="22" customHeight="1">
      <x:c r="A74" s="10" t="d">
        <x:v>2025-01-20T00:00:00.000Z</x:v>
      </x:c>
      <x:c r="B74" s="2" t="str">
        <x:v>Falak Extreme Basmati Rice 5 kg</x:v>
      </x:c>
      <x:c r="C74" s="2" t="str">
        <x:v>Pakistan domestic retail</x:v>
      </x:c>
      <x:c r="D74" s="11" t="n">
        <x:v>5163</x:v>
      </x:c>
      <x:c r="E74" s="11" t="n">
        <x:v>5180</x:v>
      </x:c>
      <x:c r="F74" s="11" t="n">
        <x:v>2550</x:v>
      </x:c>
      <x:c r="G74" s="11" t="n">
        <x:v>0</x:v>
      </x:c>
      <x:c r="H74" s="12" t="n">
        <x:v>0</x:v>
      </x:c>
      <x:c r="I74" s="11" t="n">
        <x:v>0</x:v>
      </x:c>
      <x:c r="J74" s="11" t="str"/>
      <x:c r="K74" s="11" t="n">
        <x:v>1041</x:v>
      </x:c>
      <x:c r="L74" s="11" t="n">
        <x:v>0</x:v>
      </x:c>
      <x:c r="M74" s="2" t="str"/>
      <x:c r="N74" s="2" t="str">
        <x:v>Train</x:v>
      </x:c>
      <x:c r="O74" s="2" t="str">
        <x:v>Company-Calibrated Synthetic Dataset for Academic Analysis — illustrative figures, calibrated to Matco Foods Limited's disclosed scale, not actual company records.</x:v>
      </x:c>
    </x:row>
    <x:row r="75" ht="22" customHeight="1">
      <x:c r="A75" s="10" t="d">
        <x:v>2025-01-27T00:00:00.000Z</x:v>
      </x:c>
      <x:c r="B75" s="2" t="str">
        <x:v>Falak Extreme Basmati Rice 5 kg</x:v>
      </x:c>
      <x:c r="C75" s="2" t="str">
        <x:v>Pakistan domestic retail</x:v>
      </x:c>
      <x:c r="D75" s="11" t="n">
        <x:v>4597</x:v>
      </x:c>
      <x:c r="E75" s="11" t="n">
        <x:v>5269</x:v>
      </x:c>
      <x:c r="F75" s="11" t="n">
        <x:v>2550</x:v>
      </x:c>
      <x:c r="G75" s="11" t="n">
        <x:v>0</x:v>
      </x:c>
      <x:c r="H75" s="12" t="n">
        <x:v>0</x:v>
      </x:c>
      <x:c r="I75" s="11" t="n">
        <x:v>0</x:v>
      </x:c>
      <x:c r="J75" s="11" t="str"/>
      <x:c r="K75" s="11" t="n">
        <x:v>1056</x:v>
      </x:c>
      <x:c r="L75" s="11" t="n">
        <x:v>0</x:v>
      </x:c>
      <x:c r="M75" s="2" t="str"/>
      <x:c r="N75" s="2" t="str">
        <x:v>Train</x:v>
      </x:c>
      <x:c r="O75" s="2" t="str">
        <x:v>Company-Calibrated Synthetic Dataset for Academic Analysis — illustrative figures, calibrated to Matco Foods Limited's disclosed scale, not actual company records.</x:v>
      </x:c>
    </x:row>
    <x:row r="76" ht="22" customHeight="1">
      <x:c r="A76" s="10" t="d">
        <x:v>2025-02-03T00:00:00.000Z</x:v>
      </x:c>
      <x:c r="B76" s="2" t="str">
        <x:v>Falak Extreme Basmati Rice 5 kg</x:v>
      </x:c>
      <x:c r="C76" s="2" t="str">
        <x:v>Pakistan domestic retail</x:v>
      </x:c>
      <x:c r="D76" s="11" t="n">
        <x:v>6075</x:v>
      </x:c>
      <x:c r="E76" s="11" t="n">
        <x:v>5775</x:v>
      </x:c>
      <x:c r="F76" s="11" t="n">
        <x:v>2550</x:v>
      </x:c>
      <x:c r="G76" s="11" t="n">
        <x:v>1</x:v>
      </x:c>
      <x:c r="H76" s="12" t="n">
        <x:v>0.05</x:v>
      </x:c>
      <x:c r="I76" s="11" t="n">
        <x:v>0</x:v>
      </x:c>
      <x:c r="J76" s="11" t="str"/>
      <x:c r="K76" s="11" t="n">
        <x:v>1054</x:v>
      </x:c>
      <x:c r="L76" s="11" t="n">
        <x:v>0</x:v>
      </x:c>
      <x:c r="M76" s="2" t="str"/>
      <x:c r="N76" s="2" t="str">
        <x:v>Train</x:v>
      </x:c>
      <x:c r="O76" s="2" t="str">
        <x:v>Company-Calibrated Synthetic Dataset for Academic Analysis — illustrative figures, calibrated to Matco Foods Limited's disclosed scale, not actual company records.</x:v>
      </x:c>
    </x:row>
    <x:row r="77" ht="22" customHeight="1">
      <x:c r="A77" s="10" t="d">
        <x:v>2025-02-10T00:00:00.000Z</x:v>
      </x:c>
      <x:c r="B77" s="2" t="str">
        <x:v>Falak Extreme Basmati Rice 5 kg</x:v>
      </x:c>
      <x:c r="C77" s="2" t="str">
        <x:v>Pakistan domestic retail</x:v>
      </x:c>
      <x:c r="D77" s="11" t="n">
        <x:v>5157</x:v>
      </x:c>
      <x:c r="E77" s="11" t="n">
        <x:v>5339</x:v>
      </x:c>
      <x:c r="F77" s="11" t="n">
        <x:v>2550</x:v>
      </x:c>
      <x:c r="G77" s="11" t="n">
        <x:v>0</x:v>
      </x:c>
      <x:c r="H77" s="12" t="n">
        <x:v>0</x:v>
      </x:c>
      <x:c r="I77" s="11" t="n">
        <x:v>0</x:v>
      </x:c>
      <x:c r="J77" s="11" t="str"/>
      <x:c r="K77" s="11" t="n">
        <x:v>1070</x:v>
      </x:c>
      <x:c r="L77" s="11" t="n">
        <x:v>0</x:v>
      </x:c>
      <x:c r="M77" s="2" t="str"/>
      <x:c r="N77" s="2" t="str">
        <x:v>Train</x:v>
      </x:c>
      <x:c r="O77" s="2" t="str">
        <x:v>Company-Calibrated Synthetic Dataset for Academic Analysis — illustrative figures, calibrated to Matco Foods Limited's disclosed scale, not actual company records.</x:v>
      </x:c>
    </x:row>
    <x:row r="78" ht="22" customHeight="1">
      <x:c r="A78" s="10" t="d">
        <x:v>2025-02-17T00:00:00.000Z</x:v>
      </x:c>
      <x:c r="B78" s="2" t="str">
        <x:v>Falak Extreme Basmati Rice 5 kg</x:v>
      </x:c>
      <x:c r="C78" s="2" t="str">
        <x:v>Pakistan domestic retail</x:v>
      </x:c>
      <x:c r="D78" s="11" t="n">
        <x:v>6029</x:v>
      </x:c>
      <x:c r="E78" s="11" t="n">
        <x:v>5962</x:v>
      </x:c>
      <x:c r="F78" s="11" t="n">
        <x:v>2550</x:v>
      </x:c>
      <x:c r="G78" s="11" t="n">
        <x:v>0</x:v>
      </x:c>
      <x:c r="H78" s="12" t="n">
        <x:v>0</x:v>
      </x:c>
      <x:c r="I78" s="11" t="n">
        <x:v>1</x:v>
      </x:c>
      <x:c r="J78" s="11" t="str">
        <x:v>Ramadan stocking</x:v>
      </x:c>
      <x:c r="K78" s="11" t="n">
        <x:v>1083</x:v>
      </x:c>
      <x:c r="L78" s="11" t="n">
        <x:v>0</x:v>
      </x:c>
      <x:c r="M78" s="2" t="str"/>
      <x:c r="N78" s="2" t="str">
        <x:v>Train</x:v>
      </x:c>
      <x:c r="O78" s="2" t="str">
        <x:v>Company-Calibrated Synthetic Dataset for Academic Analysis — illustrative figures, calibrated to Matco Foods Limited's disclosed scale, not actual company records.</x:v>
      </x:c>
    </x:row>
    <x:row r="79" ht="22" customHeight="1">
      <x:c r="A79" s="10" t="d">
        <x:v>2025-02-24T00:00:00.000Z</x:v>
      </x:c>
      <x:c r="B79" s="2" t="str">
        <x:v>Falak Extreme Basmati Rice 5 kg</x:v>
      </x:c>
      <x:c r="C79" s="2" t="str">
        <x:v>Pakistan domestic retail</x:v>
      </x:c>
      <x:c r="D79" s="11" t="n">
        <x:v>6460</x:v>
      </x:c>
      <x:c r="E79" s="11" t="n">
        <x:v>6034</x:v>
      </x:c>
      <x:c r="F79" s="11" t="n">
        <x:v>2550</x:v>
      </x:c>
      <x:c r="G79" s="11" t="n">
        <x:v>0</x:v>
      </x:c>
      <x:c r="H79" s="12" t="n">
        <x:v>0</x:v>
      </x:c>
      <x:c r="I79" s="11" t="n">
        <x:v>1</x:v>
      </x:c>
      <x:c r="J79" s="11" t="str">
        <x:v>Ramadan stocking</x:v>
      </x:c>
      <x:c r="K79" s="11" t="n">
        <x:v>1083</x:v>
      </x:c>
      <x:c r="L79" s="11" t="n">
        <x:v>0</x:v>
      </x:c>
      <x:c r="M79" s="2" t="str"/>
      <x:c r="N79" s="2" t="str">
        <x:v>Train</x:v>
      </x:c>
      <x:c r="O79" s="2" t="str">
        <x:v>Company-Calibrated Synthetic Dataset for Academic Analysis — illustrative figures, calibrated to Matco Foods Limited's disclosed scale, not actual company records.</x:v>
      </x:c>
    </x:row>
    <x:row r="80" ht="22" customHeight="1">
      <x:c r="A80" s="10" t="d">
        <x:v>2025-03-03T00:00:00.000Z</x:v>
      </x:c>
      <x:c r="B80" s="2" t="str">
        <x:v>Falak Extreme Basmati Rice 5 kg</x:v>
      </x:c>
      <x:c r="C80" s="2" t="str">
        <x:v>Pakistan domestic retail</x:v>
      </x:c>
      <x:c r="D80" s="11" t="n">
        <x:v>7510</x:v>
      </x:c>
      <x:c r="E80" s="11" t="n">
        <x:v>6471</x:v>
      </x:c>
      <x:c r="F80" s="11" t="n">
        <x:v>2550</x:v>
      </x:c>
      <x:c r="G80" s="11" t="n">
        <x:v>1</x:v>
      </x:c>
      <x:c r="H80" s="12" t="n">
        <x:v>0.08</x:v>
      </x:c>
      <x:c r="I80" s="11" t="n">
        <x:v>1</x:v>
      </x:c>
      <x:c r="J80" s="11" t="str">
        <x:v>Ramadan stocking; Ramadan</x:v>
      </x:c>
      <x:c r="K80" s="11" t="n">
        <x:v>1088</x:v>
      </x:c>
      <x:c r="L80" s="11" t="n">
        <x:v>0</x:v>
      </x:c>
      <x:c r="M80" s="2" t="str"/>
      <x:c r="N80" s="2" t="str">
        <x:v>Train</x:v>
      </x:c>
      <x:c r="O80" s="2" t="str">
        <x:v>Company-Calibrated Synthetic Dataset for Academic Analysis — illustrative figures, calibrated to Matco Foods Limited's disclosed scale, not actual company records.</x:v>
      </x:c>
    </x:row>
    <x:row r="81" ht="22" customHeight="1">
      <x:c r="A81" s="10" t="d">
        <x:v>2025-03-10T00:00:00.000Z</x:v>
      </x:c>
      <x:c r="B81" s="2" t="str">
        <x:v>Falak Extreme Basmati Rice 5 kg</x:v>
      </x:c>
      <x:c r="C81" s="2" t="str">
        <x:v>Pakistan domestic retail</x:v>
      </x:c>
      <x:c r="D81" s="11" t="n">
        <x:v>5817</x:v>
      </x:c>
      <x:c r="E81" s="11" t="n">
        <x:v>6057</x:v>
      </x:c>
      <x:c r="F81" s="11" t="n">
        <x:v>2550</x:v>
      </x:c>
      <x:c r="G81" s="11" t="n">
        <x:v>0</x:v>
      </x:c>
      <x:c r="H81" s="12" t="n">
        <x:v>0</x:v>
      </x:c>
      <x:c r="I81" s="11" t="n">
        <x:v>1</x:v>
      </x:c>
      <x:c r="J81" s="11" t="str">
        <x:v>Ramadan</x:v>
      </x:c>
      <x:c r="K81" s="11" t="n">
        <x:v>1096</x:v>
      </x:c>
      <x:c r="L81" s="11" t="n">
        <x:v>0</x:v>
      </x:c>
      <x:c r="M81" s="2" t="str"/>
      <x:c r="N81" s="2" t="str">
        <x:v>Train</x:v>
      </x:c>
      <x:c r="O81" s="2" t="str">
        <x:v>Company-Calibrated Synthetic Dataset for Academic Analysis — illustrative figures, calibrated to Matco Foods Limited's disclosed scale, not actual company records.</x:v>
      </x:c>
    </x:row>
    <x:row r="82" ht="22" customHeight="1">
      <x:c r="A82" s="10" t="d">
        <x:v>2025-03-17T00:00:00.000Z</x:v>
      </x:c>
      <x:c r="B82" s="2" t="str">
        <x:v>Falak Extreme Basmati Rice 5 kg</x:v>
      </x:c>
      <x:c r="C82" s="2" t="str">
        <x:v>Pakistan domestic retail</x:v>
      </x:c>
      <x:c r="D82" s="11" t="n">
        <x:v>5263</x:v>
      </x:c>
      <x:c r="E82" s="11" t="n">
        <x:v>6098</x:v>
      </x:c>
      <x:c r="F82" s="11" t="n">
        <x:v>2550</x:v>
      </x:c>
      <x:c r="G82" s="11" t="n">
        <x:v>0</x:v>
      </x:c>
      <x:c r="H82" s="12" t="n">
        <x:v>0</x:v>
      </x:c>
      <x:c r="I82" s="11" t="n">
        <x:v>1</x:v>
      </x:c>
      <x:c r="J82" s="11" t="str">
        <x:v>Ramadan</x:v>
      </x:c>
      <x:c r="K82" s="11" t="n">
        <x:v>1092</x:v>
      </x:c>
      <x:c r="L82" s="11" t="n">
        <x:v>0</x:v>
      </x:c>
      <x:c r="M82" s="2" t="str"/>
      <x:c r="N82" s="2" t="str">
        <x:v>Train</x:v>
      </x:c>
      <x:c r="O82" s="2" t="str">
        <x:v>Company-Calibrated Synthetic Dataset for Academic Analysis — illustrative figures, calibrated to Matco Foods Limited's disclosed scale, not actual company records.</x:v>
      </x:c>
    </x:row>
    <x:row r="83" ht="22" customHeight="1">
      <x:c r="A83" s="10" t="d">
        <x:v>2025-03-24T00:00:00.000Z</x:v>
      </x:c>
      <x:c r="B83" s="2" t="str">
        <x:v>Falak Extreme Basmati Rice 5 kg</x:v>
      </x:c>
      <x:c r="C83" s="2" t="str">
        <x:v>Pakistan domestic retail</x:v>
      </x:c>
      <x:c r="D83" s="11" t="n">
        <x:v>6535</x:v>
      </x:c>
      <x:c r="E83" s="11" t="n">
        <x:v>6071</x:v>
      </x:c>
      <x:c r="F83" s="11" t="n">
        <x:v>2550</x:v>
      </x:c>
      <x:c r="G83" s="11" t="n">
        <x:v>0</x:v>
      </x:c>
      <x:c r="H83" s="12" t="n">
        <x:v>0</x:v>
      </x:c>
      <x:c r="I83" s="11" t="n">
        <x:v>1</x:v>
      </x:c>
      <x:c r="J83" s="11" t="str">
        <x:v>Eid-ul-Fitr</x:v>
      </x:c>
      <x:c r="K83" s="11" t="n">
        <x:v>1072</x:v>
      </x:c>
      <x:c r="L83" s="11" t="n">
        <x:v>0</x:v>
      </x:c>
      <x:c r="M83" s="2" t="str"/>
      <x:c r="N83" s="2" t="str">
        <x:v>Train</x:v>
      </x:c>
      <x:c r="O83" s="2" t="str">
        <x:v>Company-Calibrated Synthetic Dataset for Academic Analysis — illustrative figures, calibrated to Matco Foods Limited's disclosed scale, not actual company records.</x:v>
      </x:c>
    </x:row>
    <x:row r="84" ht="22" customHeight="1">
      <x:c r="A84" s="10" t="d">
        <x:v>2025-03-31T00:00:00.000Z</x:v>
      </x:c>
      <x:c r="B84" s="2" t="str">
        <x:v>Falak Extreme Basmati Rice 5 kg</x:v>
      </x:c>
      <x:c r="C84" s="2" t="str">
        <x:v>Pakistan domestic retail</x:v>
      </x:c>
      <x:c r="D84" s="11" t="n">
        <x:v>6183</x:v>
      </x:c>
      <x:c r="E84" s="11" t="n">
        <x:v>5955</x:v>
      </x:c>
      <x:c r="F84" s="11" t="n">
        <x:v>2550</x:v>
      </x:c>
      <x:c r="G84" s="11" t="n">
        <x:v>0</x:v>
      </x:c>
      <x:c r="H84" s="12" t="n">
        <x:v>0</x:v>
      </x:c>
      <x:c r="I84" s="11" t="n">
        <x:v>1</x:v>
      </x:c>
      <x:c r="J84" s="11" t="str">
        <x:v>Eid-ul-Fitr</x:v>
      </x:c>
      <x:c r="K84" s="11" t="n">
        <x:v>1086</x:v>
      </x:c>
      <x:c r="L84" s="11" t="n">
        <x:v>0</x:v>
      </x:c>
      <x:c r="M84" s="2" t="str"/>
      <x:c r="N84" s="2" t="str">
        <x:v>Train</x:v>
      </x:c>
      <x:c r="O84" s="2" t="str">
        <x:v>Company-Calibrated Synthetic Dataset for Academic Analysis — illustrative figures, calibrated to Matco Foods Limited's disclosed scale, not actual company records.</x:v>
      </x:c>
    </x:row>
    <x:row r="85" ht="22" customHeight="1">
      <x:c r="A85" s="10" t="d">
        <x:v>2025-04-07T00:00:00.000Z</x:v>
      </x:c>
      <x:c r="B85" s="2" t="str">
        <x:v>Falak Extreme Basmati Rice 5 kg</x:v>
      </x:c>
      <x:c r="C85" s="2" t="str">
        <x:v>Pakistan domestic retail</x:v>
      </x:c>
      <x:c r="D85" s="11" t="n">
        <x:v>4790</x:v>
      </x:c>
      <x:c r="E85" s="11" t="n">
        <x:v>5478</x:v>
      </x:c>
      <x:c r="F85" s="11" t="n">
        <x:v>2550</x:v>
      </x:c>
      <x:c r="G85" s="11" t="n">
        <x:v>0</x:v>
      </x:c>
      <x:c r="H85" s="12" t="n">
        <x:v>0</x:v>
      </x:c>
      <x:c r="I85" s="11" t="n">
        <x:v>0</x:v>
      </x:c>
      <x:c r="J85" s="11" t="str"/>
      <x:c r="K85" s="11" t="n">
        <x:v>1089</x:v>
      </x:c>
      <x:c r="L85" s="11" t="n">
        <x:v>0</x:v>
      </x:c>
      <x:c r="M85" s="2" t="str"/>
      <x:c r="N85" s="2" t="str">
        <x:v>Train</x:v>
      </x:c>
      <x:c r="O85" s="2" t="str">
        <x:v>Company-Calibrated Synthetic Dataset for Academic Analysis — illustrative figures, calibrated to Matco Foods Limited's disclosed scale, not actual company records.</x:v>
      </x:c>
    </x:row>
    <x:row r="86" ht="22" customHeight="1">
      <x:c r="A86" s="10" t="d">
        <x:v>2025-04-14T00:00:00.000Z</x:v>
      </x:c>
      <x:c r="B86" s="2" t="str">
        <x:v>Falak Extreme Basmati Rice 5 kg</x:v>
      </x:c>
      <x:c r="C86" s="2" t="str">
        <x:v>Pakistan domestic retail</x:v>
      </x:c>
      <x:c r="D86" s="11" t="n">
        <x:v>7488</x:v>
      </x:c>
      <x:c r="E86" s="11" t="n">
        <x:v>5926</x:v>
      </x:c>
      <x:c r="F86" s="11" t="n">
        <x:v>2650</x:v>
      </x:c>
      <x:c r="G86" s="11" t="n">
        <x:v>1</x:v>
      </x:c>
      <x:c r="H86" s="12" t="n">
        <x:v>0.12</x:v>
      </x:c>
      <x:c r="I86" s="11" t="n">
        <x:v>0</x:v>
      </x:c>
      <x:c r="J86" s="11" t="str"/>
      <x:c r="K86" s="11" t="n">
        <x:v>1083</x:v>
      </x:c>
      <x:c r="L86" s="11" t="n">
        <x:v>0</x:v>
      </x:c>
      <x:c r="M86" s="2" t="str"/>
      <x:c r="N86" s="2" t="str">
        <x:v>Train</x:v>
      </x:c>
      <x:c r="O86" s="2" t="str">
        <x:v>Company-Calibrated Synthetic Dataset for Academic Analysis — illustrative figures, calibrated to Matco Foods Limited's disclosed scale, not actual company records.</x:v>
      </x:c>
    </x:row>
    <x:row r="87" ht="22" customHeight="1">
      <x:c r="A87" s="10" t="d">
        <x:v>2025-04-21T00:00:00.000Z</x:v>
      </x:c>
      <x:c r="B87" s="2" t="str">
        <x:v>Falak Extreme Basmati Rice 5 kg</x:v>
      </x:c>
      <x:c r="C87" s="2" t="str">
        <x:v>Pakistan domestic retail</x:v>
      </x:c>
      <x:c r="D87" s="11" t="n">
        <x:v>4991</x:v>
      </x:c>
      <x:c r="E87" s="11" t="n">
        <x:v>5388</x:v>
      </x:c>
      <x:c r="F87" s="11" t="n">
        <x:v>2650</x:v>
      </x:c>
      <x:c r="G87" s="11" t="n">
        <x:v>0</x:v>
      </x:c>
      <x:c r="H87" s="12" t="n">
        <x:v>0</x:v>
      </x:c>
      <x:c r="I87" s="11" t="n">
        <x:v>0</x:v>
      </x:c>
      <x:c r="J87" s="11" t="str"/>
      <x:c r="K87" s="11" t="n">
        <x:v>1063</x:v>
      </x:c>
      <x:c r="L87" s="11" t="n">
        <x:v>0</x:v>
      </x:c>
      <x:c r="M87" s="2" t="str"/>
      <x:c r="N87" s="2" t="str">
        <x:v>Train</x:v>
      </x:c>
      <x:c r="O87" s="2" t="str">
        <x:v>Company-Calibrated Synthetic Dataset for Academic Analysis — illustrative figures, calibrated to Matco Foods Limited's disclosed scale, not actual company records.</x:v>
      </x:c>
    </x:row>
    <x:row r="88" ht="22" customHeight="1">
      <x:c r="A88" s="10" t="d">
        <x:v>2025-04-28T00:00:00.000Z</x:v>
      </x:c>
      <x:c r="B88" s="2" t="str">
        <x:v>Falak Extreme Basmati Rice 5 kg</x:v>
      </x:c>
      <x:c r="C88" s="2" t="str">
        <x:v>Pakistan domestic retail</x:v>
      </x:c>
      <x:c r="D88" s="11" t="n">
        <x:v>4989</x:v>
      </x:c>
      <x:c r="E88" s="11" t="n">
        <x:v>5281</x:v>
      </x:c>
      <x:c r="F88" s="11" t="n">
        <x:v>2650</x:v>
      </x:c>
      <x:c r="G88" s="11" t="n">
        <x:v>0</x:v>
      </x:c>
      <x:c r="H88" s="12" t="n">
        <x:v>0</x:v>
      </x:c>
      <x:c r="I88" s="11" t="n">
        <x:v>0</x:v>
      </x:c>
      <x:c r="J88" s="11" t="str"/>
      <x:c r="K88" s="11" t="n">
        <x:v>1059</x:v>
      </x:c>
      <x:c r="L88" s="11" t="n">
        <x:v>0</x:v>
      </x:c>
      <x:c r="M88" s="2" t="str"/>
      <x:c r="N88" s="2" t="str">
        <x:v>Train</x:v>
      </x:c>
      <x:c r="O88" s="2" t="str">
        <x:v>Company-Calibrated Synthetic Dataset for Academic Analysis — illustrative figures, calibrated to Matco Foods Limited's disclosed scale, not actual company records.</x:v>
      </x:c>
    </x:row>
    <x:row r="89" ht="22" customHeight="1">
      <x:c r="A89" s="10" t="d">
        <x:v>2025-05-05T00:00:00.000Z</x:v>
      </x:c>
      <x:c r="B89" s="2" t="str">
        <x:v>Falak Extreme Basmati Rice 5 kg</x:v>
      </x:c>
      <x:c r="C89" s="2" t="str">
        <x:v>Pakistan domestic retail</x:v>
      </x:c>
      <x:c r="D89" s="11" t="n">
        <x:v>6120</x:v>
      </x:c>
      <x:c r="E89" s="11" t="n">
        <x:v>5675</x:v>
      </x:c>
      <x:c r="F89" s="11" t="n">
        <x:v>2650</x:v>
      </x:c>
      <x:c r="G89" s="11" t="n">
        <x:v>1</x:v>
      </x:c>
      <x:c r="H89" s="12" t="n">
        <x:v>0.08</x:v>
      </x:c>
      <x:c r="I89" s="11" t="n">
        <x:v>0</x:v>
      </x:c>
      <x:c r="J89" s="11" t="str"/>
      <x:c r="K89" s="11" t="n">
        <x:v>1057</x:v>
      </x:c>
      <x:c r="L89" s="11" t="n">
        <x:v>0</x:v>
      </x:c>
      <x:c r="M89" s="2" t="str"/>
      <x:c r="N89" s="2" t="str">
        <x:v>Train</x:v>
      </x:c>
      <x:c r="O89" s="2" t="str">
        <x:v>Company-Calibrated Synthetic Dataset for Academic Analysis — illustrative figures, calibrated to Matco Foods Limited's disclosed scale, not actual company records.</x:v>
      </x:c>
    </x:row>
    <x:row r="90" ht="22" customHeight="1">
      <x:c r="A90" s="10" t="d">
        <x:v>2025-05-12T00:00:00.000Z</x:v>
      </x:c>
      <x:c r="B90" s="2" t="str">
        <x:v>Falak Extreme Basmati Rice 5 kg</x:v>
      </x:c>
      <x:c r="C90" s="2" t="str">
        <x:v>Pakistan domestic retail</x:v>
      </x:c>
      <x:c r="D90" s="11" t="n">
        <x:v>6765</x:v>
      </x:c>
      <x:c r="E90" s="11" t="n">
        <x:v>5237</x:v>
      </x:c>
      <x:c r="F90" s="11" t="n">
        <x:v>2650</x:v>
      </x:c>
      <x:c r="G90" s="11" t="n">
        <x:v>0</x:v>
      </x:c>
      <x:c r="H90" s="12" t="n">
        <x:v>0</x:v>
      </x:c>
      <x:c r="I90" s="11" t="n">
        <x:v>0</x:v>
      </x:c>
      <x:c r="J90" s="11" t="str"/>
      <x:c r="K90" s="11" t="n">
        <x:v>1046</x:v>
      </x:c>
      <x:c r="L90" s="11" t="n">
        <x:v>0</x:v>
      </x:c>
      <x:c r="M90" s="2" t="str">
        <x:v>Illustrative retailer display campaign</x:v>
      </x:c>
      <x:c r="N90" s="2" t="str">
        <x:v>Train</x:v>
      </x:c>
      <x:c r="O90" s="2" t="str">
        <x:v>Company-Calibrated Synthetic Dataset for Academic Analysis — illustrative figures, calibrated to Matco Foods Limited's disclosed scale, not actual company records.</x:v>
      </x:c>
    </x:row>
    <x:row r="91" ht="22" customHeight="1">
      <x:c r="A91" s="10" t="d">
        <x:v>2025-05-19T00:00:00.000Z</x:v>
      </x:c>
      <x:c r="B91" s="2" t="str">
        <x:v>Falak Extreme Basmati Rice 5 kg</x:v>
      </x:c>
      <x:c r="C91" s="2" t="str">
        <x:v>Pakistan domestic retail</x:v>
      </x:c>
      <x:c r="D91" s="11" t="n">
        <x:v>5766</x:v>
      </x:c>
      <x:c r="E91" s="11" t="n">
        <x:v>5175</x:v>
      </x:c>
      <x:c r="F91" s="11" t="n">
        <x:v>2650</x:v>
      </x:c>
      <x:c r="G91" s="11" t="n">
        <x:v>0</x:v>
      </x:c>
      <x:c r="H91" s="12" t="n">
        <x:v>0</x:v>
      </x:c>
      <x:c r="I91" s="11" t="n">
        <x:v>0</x:v>
      </x:c>
      <x:c r="J91" s="11" t="str"/>
      <x:c r="K91" s="11" t="n">
        <x:v>1054</x:v>
      </x:c>
      <x:c r="L91" s="11" t="n">
        <x:v>0</x:v>
      </x:c>
      <x:c r="M91" s="2" t="str">
        <x:v>Illustrative retailer display campaign</x:v>
      </x:c>
      <x:c r="N91" s="2" t="str">
        <x:v>Train</x:v>
      </x:c>
      <x:c r="O91" s="2" t="str">
        <x:v>Company-Calibrated Synthetic Dataset for Academic Analysis — illustrative figures, calibrated to Matco Foods Limited's disclosed scale, not actual company records.</x:v>
      </x:c>
    </x:row>
    <x:row r="92" ht="22" customHeight="1">
      <x:c r="A92" s="10" t="d">
        <x:v>2025-05-26T00:00:00.000Z</x:v>
      </x:c>
      <x:c r="B92" s="2" t="str">
        <x:v>Falak Extreme Basmati Rice 5 kg</x:v>
      </x:c>
      <x:c r="C92" s="2" t="str">
        <x:v>Pakistan domestic retail</x:v>
      </x:c>
      <x:c r="D92" s="11" t="n">
        <x:v>5349</x:v>
      </x:c>
      <x:c r="E92" s="11" t="n">
        <x:v>5728</x:v>
      </x:c>
      <x:c r="F92" s="11" t="n">
        <x:v>2650</x:v>
      </x:c>
      <x:c r="G92" s="11" t="n">
        <x:v>0</x:v>
      </x:c>
      <x:c r="H92" s="12" t="n">
        <x:v>0</x:v>
      </x:c>
      <x:c r="I92" s="11" t="n">
        <x:v>1</x:v>
      </x:c>
      <x:c r="J92" s="11" t="str">
        <x:v>Eid-ul-Adha</x:v>
      </x:c>
      <x:c r="K92" s="11" t="n">
        <x:v>1055</x:v>
      </x:c>
      <x:c r="L92" s="11" t="n">
        <x:v>0</x:v>
      </x:c>
      <x:c r="M92" s="2" t="str"/>
      <x:c r="N92" s="2" t="str">
        <x:v>Train</x:v>
      </x:c>
      <x:c r="O92" s="2" t="str">
        <x:v>Company-Calibrated Synthetic Dataset for Academic Analysis — illustrative figures, calibrated to Matco Foods Limited's disclosed scale, not actual company records.</x:v>
      </x:c>
    </x:row>
    <x:row r="93" ht="22" customHeight="1">
      <x:c r="A93" s="10" t="d">
        <x:v>2025-06-02T00:00:00.000Z</x:v>
      </x:c>
      <x:c r="B93" s="2" t="str">
        <x:v>Falak Extreme Basmati Rice 5 kg</x:v>
      </x:c>
      <x:c r="C93" s="2" t="str">
        <x:v>Pakistan domestic retail</x:v>
      </x:c>
      <x:c r="D93" s="11" t="n">
        <x:v>8791</x:v>
      </x:c>
      <x:c r="E93" s="11" t="n">
        <x:v>6141</x:v>
      </x:c>
      <x:c r="F93" s="11" t="n">
        <x:v>2650</x:v>
      </x:c>
      <x:c r="G93" s="11" t="n">
        <x:v>1</x:v>
      </x:c>
      <x:c r="H93" s="12" t="n">
        <x:v>0.05</x:v>
      </x:c>
      <x:c r="I93" s="11" t="n">
        <x:v>1</x:v>
      </x:c>
      <x:c r="J93" s="11" t="str">
        <x:v>Eid-ul-Adha</x:v>
      </x:c>
      <x:c r="K93" s="11" t="n">
        <x:v>1046</x:v>
      </x:c>
      <x:c r="L93" s="11" t="n">
        <x:v>0</x:v>
      </x:c>
      <x:c r="M93" s="2" t="str"/>
      <x:c r="N93" s="2" t="str">
        <x:v>Train</x:v>
      </x:c>
      <x:c r="O93" s="2" t="str">
        <x:v>Company-Calibrated Synthetic Dataset for Academic Analysis — illustrative figures, calibrated to Matco Foods Limited's disclosed scale, not actual company records.</x:v>
      </x:c>
    </x:row>
    <x:row r="94" ht="22" customHeight="1">
      <x:c r="A94" s="10" t="d">
        <x:v>2025-06-09T00:00:00.000Z</x:v>
      </x:c>
      <x:c r="B94" s="2" t="str">
        <x:v>Falak Extreme Basmati Rice 5 kg</x:v>
      </x:c>
      <x:c r="C94" s="2" t="str">
        <x:v>Pakistan domestic retail</x:v>
      </x:c>
      <x:c r="D94" s="11" t="n">
        <x:v>5405</x:v>
      </x:c>
      <x:c r="E94" s="11" t="n">
        <x:v>5668</x:v>
      </x:c>
      <x:c r="F94" s="11" t="n">
        <x:v>2650</x:v>
      </x:c>
      <x:c r="G94" s="11" t="n">
        <x:v>0</x:v>
      </x:c>
      <x:c r="H94" s="12" t="n">
        <x:v>0</x:v>
      </x:c>
      <x:c r="I94" s="11" t="n">
        <x:v>1</x:v>
      </x:c>
      <x:c r="J94" s="11" t="str">
        <x:v>Eid-ul-Adha</x:v>
      </x:c>
      <x:c r="K94" s="11" t="n">
        <x:v>1042</x:v>
      </x:c>
      <x:c r="L94" s="11" t="n">
        <x:v>0</x:v>
      </x:c>
      <x:c r="M94" s="2" t="str"/>
      <x:c r="N94" s="2" t="str">
        <x:v>Train</x:v>
      </x:c>
      <x:c r="O94" s="2" t="str">
        <x:v>Company-Calibrated Synthetic Dataset for Academic Analysis — illustrative figures, calibrated to Matco Foods Limited's disclosed scale, not actual company records.</x:v>
      </x:c>
    </x:row>
    <x:row r="95" ht="22" customHeight="1">
      <x:c r="A95" s="10" t="d">
        <x:v>2025-06-16T00:00:00.000Z</x:v>
      </x:c>
      <x:c r="B95" s="2" t="str">
        <x:v>Falak Extreme Basmati Rice 5 kg</x:v>
      </x:c>
      <x:c r="C95" s="2" t="str">
        <x:v>Pakistan domestic retail</x:v>
      </x:c>
      <x:c r="D95" s="11" t="n">
        <x:v>5269</x:v>
      </x:c>
      <x:c r="E95" s="11" t="n">
        <x:v>5127</x:v>
      </x:c>
      <x:c r="F95" s="11" t="n">
        <x:v>2650</x:v>
      </x:c>
      <x:c r="G95" s="11" t="n">
        <x:v>0</x:v>
      </x:c>
      <x:c r="H95" s="12" t="n">
        <x:v>0</x:v>
      </x:c>
      <x:c r="I95" s="11" t="n">
        <x:v>0</x:v>
      </x:c>
      <x:c r="J95" s="11" t="str"/>
      <x:c r="K95" s="11" t="n">
        <x:v>1053</x:v>
      </x:c>
      <x:c r="L95" s="11" t="n">
        <x:v>0</x:v>
      </x:c>
      <x:c r="M95" s="2" t="str"/>
      <x:c r="N95" s="2" t="str">
        <x:v>Train</x:v>
      </x:c>
      <x:c r="O95" s="2" t="str">
        <x:v>Company-Calibrated Synthetic Dataset for Academic Analysis — illustrative figures, calibrated to Matco Foods Limited's disclosed scale, not actual company records.</x:v>
      </x:c>
    </x:row>
    <x:row r="96" ht="22" customHeight="1">
      <x:c r="A96" s="10" t="d">
        <x:v>2025-06-23T00:00:00.000Z</x:v>
      </x:c>
      <x:c r="B96" s="2" t="str">
        <x:v>Falak Extreme Basmati Rice 5 kg</x:v>
      </x:c>
      <x:c r="C96" s="2" t="str">
        <x:v>Pakistan domestic retail</x:v>
      </x:c>
      <x:c r="D96" s="11" t="n">
        <x:v>4999</x:v>
      </x:c>
      <x:c r="E96" s="11" t="n">
        <x:v>5174</x:v>
      </x:c>
      <x:c r="F96" s="11" t="n">
        <x:v>2650</x:v>
      </x:c>
      <x:c r="G96" s="11" t="n">
        <x:v>0</x:v>
      </x:c>
      <x:c r="H96" s="12" t="n">
        <x:v>0</x:v>
      </x:c>
      <x:c r="I96" s="11" t="n">
        <x:v>0</x:v>
      </x:c>
      <x:c r="J96" s="11" t="str"/>
      <x:c r="K96" s="11" t="n">
        <x:v>1061</x:v>
      </x:c>
      <x:c r="L96" s="11" t="n">
        <x:v>0</x:v>
      </x:c>
      <x:c r="M96" s="2" t="str"/>
      <x:c r="N96" s="2" t="str">
        <x:v>Train</x:v>
      </x:c>
      <x:c r="O96" s="2" t="str">
        <x:v>Company-Calibrated Synthetic Dataset for Academic Analysis — illustrative figures, calibrated to Matco Foods Limited's disclosed scale, not actual company records.</x:v>
      </x:c>
    </x:row>
    <x:row r="97" ht="22" customHeight="1">
      <x:c r="A97" s="10" t="d">
        <x:v>2025-06-30T00:00:00.000Z</x:v>
      </x:c>
      <x:c r="B97" s="2" t="str">
        <x:v>Falak Extreme Basmati Rice 5 kg</x:v>
      </x:c>
      <x:c r="C97" s="2" t="str">
        <x:v>Pakistan domestic retail</x:v>
      </x:c>
      <x:c r="D97" s="11" t="n">
        <x:v>5246</x:v>
      </x:c>
      <x:c r="E97" s="11" t="n">
        <x:v>5208</x:v>
      </x:c>
      <x:c r="F97" s="11" t="n">
        <x:v>2650</x:v>
      </x:c>
      <x:c r="G97" s="11" t="n">
        <x:v>0</x:v>
      </x:c>
      <x:c r="H97" s="12" t="n">
        <x:v>0</x:v>
      </x:c>
      <x:c r="I97" s="11" t="n">
        <x:v>0</x:v>
      </x:c>
      <x:c r="J97" s="11" t="str"/>
      <x:c r="K97" s="11" t="n">
        <x:v>1083</x:v>
      </x:c>
      <x:c r="L97" s="11" t="n">
        <x:v>0</x:v>
      </x:c>
      <x:c r="M97" s="2" t="str"/>
      <x:c r="N97" s="2" t="str">
        <x:v>Train</x:v>
      </x:c>
      <x:c r="O97" s="2" t="str">
        <x:v>Company-Calibrated Synthetic Dataset for Academic Analysis — illustrative figures, calibrated to Matco Foods Limited's disclosed scale, not actual company records.</x:v>
      </x:c>
    </x:row>
    <x:row r="98" ht="22" customHeight="1">
      <x:c r="A98" s="10" t="d">
        <x:v>2025-07-07T00:00:00.000Z</x:v>
      </x:c>
      <x:c r="B98" s="2" t="str">
        <x:v>Falak Extreme Basmati Rice 5 kg</x:v>
      </x:c>
      <x:c r="C98" s="2" t="str">
        <x:v>Pakistan domestic retail</x:v>
      </x:c>
      <x:c r="D98" s="11" t="n">
        <x:v>5263</x:v>
      </x:c>
      <x:c r="E98" s="11" t="n">
        <x:v>5310</x:v>
      </x:c>
      <x:c r="F98" s="11" t="n">
        <x:v>2650</x:v>
      </x:c>
      <x:c r="G98" s="11" t="n">
        <x:v>0</x:v>
      </x:c>
      <x:c r="H98" s="12" t="n">
        <x:v>0</x:v>
      </x:c>
      <x:c r="I98" s="11" t="n">
        <x:v>0</x:v>
      </x:c>
      <x:c r="J98" s="11" t="str"/>
      <x:c r="K98" s="11" t="n">
        <x:v>1077</x:v>
      </x:c>
      <x:c r="L98" s="11" t="n">
        <x:v>0</x:v>
      </x:c>
      <x:c r="M98" s="2" t="str"/>
      <x:c r="N98" s="2" t="str">
        <x:v>Train</x:v>
      </x:c>
      <x:c r="O98" s="2" t="str">
        <x:v>Company-Calibrated Synthetic Dataset for Academic Analysis — illustrative figures, calibrated to Matco Foods Limited's disclosed scale, not actual company records.</x:v>
      </x:c>
    </x:row>
    <x:row r="99" ht="22" customHeight="1">
      <x:c r="A99" s="10" t="d">
        <x:v>2025-07-14T00:00:00.000Z</x:v>
      </x:c>
      <x:c r="B99" s="2" t="str">
        <x:v>Falak Extreme Basmati Rice 5 kg</x:v>
      </x:c>
      <x:c r="C99" s="2" t="str">
        <x:v>Pakistan domestic retail</x:v>
      </x:c>
      <x:c r="D99" s="11" t="n">
        <x:v>8135</x:v>
      </x:c>
      <x:c r="E99" s="11" t="n">
        <x:v>5698</x:v>
      </x:c>
      <x:c r="F99" s="11" t="n">
        <x:v>2650</x:v>
      </x:c>
      <x:c r="G99" s="11" t="n">
        <x:v>1</x:v>
      </x:c>
      <x:c r="H99" s="12" t="n">
        <x:v>0.1</x:v>
      </x:c>
      <x:c r="I99" s="11" t="n">
        <x:v>0</x:v>
      </x:c>
      <x:c r="J99" s="11" t="str"/>
      <x:c r="K99" s="11" t="n">
        <x:v>1104</x:v>
      </x:c>
      <x:c r="L99" s="11" t="n">
        <x:v>0</x:v>
      </x:c>
      <x:c r="M99" s="2" t="str"/>
      <x:c r="N99" s="2" t="str">
        <x:v>Train</x:v>
      </x:c>
      <x:c r="O99" s="2" t="str">
        <x:v>Company-Calibrated Synthetic Dataset for Academic Analysis — illustrative figures, calibrated to Matco Foods Limited's disclosed scale, not actual company records.</x:v>
      </x:c>
    </x:row>
    <x:row r="100" ht="22" customHeight="1">
      <x:c r="A100" s="10" t="d">
        <x:v>2025-07-21T00:00:00.000Z</x:v>
      </x:c>
      <x:c r="B100" s="2" t="str">
        <x:v>Falak Extreme Basmati Rice 5 kg</x:v>
      </x:c>
      <x:c r="C100" s="2" t="str">
        <x:v>Pakistan domestic retail</x:v>
      </x:c>
      <x:c r="D100" s="11" t="n">
        <x:v>5465</x:v>
      </x:c>
      <x:c r="E100" s="11" t="n">
        <x:v>5405</x:v>
      </x:c>
      <x:c r="F100" s="11" t="n">
        <x:v>2650</x:v>
      </x:c>
      <x:c r="G100" s="11" t="n">
        <x:v>0</x:v>
      </x:c>
      <x:c r="H100" s="12" t="n">
        <x:v>0</x:v>
      </x:c>
      <x:c r="I100" s="11" t="n">
        <x:v>0</x:v>
      </x:c>
      <x:c r="J100" s="11" t="str"/>
      <x:c r="K100" s="11" t="n">
        <x:v>1113</x:v>
      </x:c>
      <x:c r="L100" s="11" t="n">
        <x:v>0</x:v>
      </x:c>
      <x:c r="M100" s="2" t="str"/>
      <x:c r="N100" s="2" t="str">
        <x:v>Train</x:v>
      </x:c>
      <x:c r="O100" s="2" t="str">
        <x:v>Company-Calibrated Synthetic Dataset for Academic Analysis — illustrative figures, calibrated to Matco Foods Limited's disclosed scale, not actual company records.</x:v>
      </x:c>
    </x:row>
    <x:row r="101" ht="22" customHeight="1">
      <x:c r="A101" s="10" t="d">
        <x:v>2025-07-28T00:00:00.000Z</x:v>
      </x:c>
      <x:c r="B101" s="2" t="str">
        <x:v>Falak Extreme Basmati Rice 5 kg</x:v>
      </x:c>
      <x:c r="C101" s="2" t="str">
        <x:v>Pakistan domestic retail</x:v>
      </x:c>
      <x:c r="D101" s="11" t="n">
        <x:v>5625</x:v>
      </x:c>
      <x:c r="E101" s="11" t="n">
        <x:v>5446</x:v>
      </x:c>
      <x:c r="F101" s="11" t="n">
        <x:v>2650</x:v>
      </x:c>
      <x:c r="G101" s="11" t="n">
        <x:v>0</x:v>
      </x:c>
      <x:c r="H101" s="12" t="n">
        <x:v>0</x:v>
      </x:c>
      <x:c r="I101" s="11" t="n">
        <x:v>0</x:v>
      </x:c>
      <x:c r="J101" s="11" t="str"/>
      <x:c r="K101" s="11" t="n">
        <x:v>1102</x:v>
      </x:c>
      <x:c r="L101" s="11" t="n">
        <x:v>0</x:v>
      </x:c>
      <x:c r="M101" s="2" t="str"/>
      <x:c r="N101" s="2" t="str">
        <x:v>Train</x:v>
      </x:c>
      <x:c r="O101" s="2" t="str">
        <x:v>Company-Calibrated Synthetic Dataset for Academic Analysis — illustrative figures, calibrated to Matco Foods Limited's disclosed scale, not actual company records.</x:v>
      </x:c>
    </x:row>
    <x:row r="102" ht="22" customHeight="1">
      <x:c r="A102" s="10" t="d">
        <x:v>2025-08-04T00:00:00.000Z</x:v>
      </x:c>
      <x:c r="B102" s="2" t="str">
        <x:v>Falak Extreme Basmati Rice 5 kg</x:v>
      </x:c>
      <x:c r="C102" s="2" t="str">
        <x:v>Pakistan domestic retail</x:v>
      </x:c>
      <x:c r="D102" s="11" t="n">
        <x:v>6873</x:v>
      </x:c>
      <x:c r="E102" s="11" t="n">
        <x:v>5821</x:v>
      </x:c>
      <x:c r="F102" s="11" t="n">
        <x:v>2650</x:v>
      </x:c>
      <x:c r="G102" s="11" t="n">
        <x:v>1</x:v>
      </x:c>
      <x:c r="H102" s="12" t="n">
        <x:v>0.12</x:v>
      </x:c>
      <x:c r="I102" s="11" t="n">
        <x:v>0</x:v>
      </x:c>
      <x:c r="J102" s="11" t="str"/>
      <x:c r="K102" s="11" t="n">
        <x:v>1114</x:v>
      </x:c>
      <x:c r="L102" s="11" t="n">
        <x:v>0</x:v>
      </x:c>
      <x:c r="M102" s="2" t="str"/>
      <x:c r="N102" s="2" t="str">
        <x:v>Train</x:v>
      </x:c>
      <x:c r="O102" s="2" t="str">
        <x:v>Company-Calibrated Synthetic Dataset for Academic Analysis — illustrative figures, calibrated to Matco Foods Limited's disclosed scale, not actual company records.</x:v>
      </x:c>
    </x:row>
    <x:row r="103" ht="22" customHeight="1">
      <x:c r="A103" s="10" t="d">
        <x:v>2025-08-11T00:00:00.000Z</x:v>
      </x:c>
      <x:c r="B103" s="2" t="str">
        <x:v>Falak Extreme Basmati Rice 5 kg</x:v>
      </x:c>
      <x:c r="C103" s="2" t="str">
        <x:v>Pakistan domestic retail</x:v>
      </x:c>
      <x:c r="D103" s="11" t="n">
        <x:v>5866</x:v>
      </x:c>
      <x:c r="E103" s="11" t="n">
        <x:v>5447</x:v>
      </x:c>
      <x:c r="F103" s="11" t="n">
        <x:v>2650</x:v>
      </x:c>
      <x:c r="G103" s="11" t="n">
        <x:v>0</x:v>
      </x:c>
      <x:c r="H103" s="12" t="n">
        <x:v>0</x:v>
      </x:c>
      <x:c r="I103" s="11" t="n">
        <x:v>0</x:v>
      </x:c>
      <x:c r="J103" s="11" t="str"/>
      <x:c r="K103" s="11" t="n">
        <x:v>1116</x:v>
      </x:c>
      <x:c r="L103" s="11" t="n">
        <x:v>0</x:v>
      </x:c>
      <x:c r="M103" s="2" t="str"/>
      <x:c r="N103" s="2" t="str">
        <x:v>Train</x:v>
      </x:c>
      <x:c r="O103" s="2" t="str">
        <x:v>Company-Calibrated Synthetic Dataset for Academic Analysis — illustrative figures, calibrated to Matco Foods Limited's disclosed scale, not actual company records.</x:v>
      </x:c>
    </x:row>
    <x:row r="104" ht="22" customHeight="1">
      <x:c r="A104" s="10" t="d">
        <x:v>2025-08-18T00:00:00.000Z</x:v>
      </x:c>
      <x:c r="B104" s="2" t="str">
        <x:v>Falak Extreme Basmati Rice 5 kg</x:v>
      </x:c>
      <x:c r="C104" s="2" t="str">
        <x:v>Pakistan domestic retail</x:v>
      </x:c>
      <x:c r="D104" s="11" t="n">
        <x:v>5168</x:v>
      </x:c>
      <x:c r="E104" s="11" t="n">
        <x:v>5456</x:v>
      </x:c>
      <x:c r="F104" s="11" t="n">
        <x:v>2650</x:v>
      </x:c>
      <x:c r="G104" s="11" t="n">
        <x:v>0</x:v>
      </x:c>
      <x:c r="H104" s="12" t="n">
        <x:v>0</x:v>
      </x:c>
      <x:c r="I104" s="11" t="n">
        <x:v>0</x:v>
      </x:c>
      <x:c r="J104" s="11" t="str"/>
      <x:c r="K104" s="11" t="n">
        <x:v>1105</x:v>
      </x:c>
      <x:c r="L104" s="11" t="n">
        <x:v>0</x:v>
      </x:c>
      <x:c r="M104" s="2" t="str"/>
      <x:c r="N104" s="2" t="str">
        <x:v>Train</x:v>
      </x:c>
      <x:c r="O104" s="2" t="str">
        <x:v>Company-Calibrated Synthetic Dataset for Academic Analysis — illustrative figures, calibrated to Matco Foods Limited's disclosed scale, not actual company records.</x:v>
      </x:c>
    </x:row>
    <x:row r="105" ht="22" customHeight="1">
      <x:c r="A105" s="10" t="d">
        <x:v>2025-08-25T00:00:00.000Z</x:v>
      </x:c>
      <x:c r="B105" s="2" t="str">
        <x:v>Falak Extreme Basmati Rice 5 kg</x:v>
      </x:c>
      <x:c r="C105" s="2" t="str">
        <x:v>Pakistan domestic retail</x:v>
      </x:c>
      <x:c r="D105" s="11" t="n">
        <x:v>5833</x:v>
      </x:c>
      <x:c r="E105" s="11" t="n">
        <x:v>5403</x:v>
      </x:c>
      <x:c r="F105" s="11" t="n">
        <x:v>2650</x:v>
      </x:c>
      <x:c r="G105" s="11" t="n">
        <x:v>0</x:v>
      </x:c>
      <x:c r="H105" s="12" t="n">
        <x:v>0</x:v>
      </x:c>
      <x:c r="I105" s="11" t="n">
        <x:v>0</x:v>
      </x:c>
      <x:c r="J105" s="11" t="str"/>
      <x:c r="K105" s="11" t="n">
        <x:v>1128</x:v>
      </x:c>
      <x:c r="L105" s="11" t="n">
        <x:v>0</x:v>
      </x:c>
      <x:c r="M105" s="2" t="str"/>
      <x:c r="N105" s="2" t="str">
        <x:v>Train</x:v>
      </x:c>
      <x:c r="O105" s="2" t="str">
        <x:v>Company-Calibrated Synthetic Dataset for Academic Analysis — illustrative figures, calibrated to Matco Foods Limited's disclosed scale, not actual company records.</x:v>
      </x:c>
    </x:row>
    <x:row r="106" ht="22" customHeight="1">
      <x:c r="A106" s="10" t="d">
        <x:v>2025-09-01T00:00:00.000Z</x:v>
      </x:c>
      <x:c r="B106" s="2" t="str">
        <x:v>Falak Extreme Basmati Rice 5 kg</x:v>
      </x:c>
      <x:c r="C106" s="2" t="str">
        <x:v>Pakistan domestic retail</x:v>
      </x:c>
      <x:c r="D106" s="11" t="n">
        <x:v>7200</x:v>
      </x:c>
      <x:c r="E106" s="11" t="n">
        <x:v>5959</x:v>
      </x:c>
      <x:c r="F106" s="11" t="n">
        <x:v>2750</x:v>
      </x:c>
      <x:c r="G106" s="11" t="n">
        <x:v>1</x:v>
      </x:c>
      <x:c r="H106" s="12" t="n">
        <x:v>0.05</x:v>
      </x:c>
      <x:c r="I106" s="11" t="n">
        <x:v>0</x:v>
      </x:c>
      <x:c r="J106" s="11" t="str"/>
      <x:c r="K106" s="11" t="n">
        <x:v>1118</x:v>
      </x:c>
      <x:c r="L106" s="11" t="n">
        <x:v>0</x:v>
      </x:c>
      <x:c r="M106" s="2" t="str"/>
      <x:c r="N106" s="2" t="str">
        <x:v>Train</x:v>
      </x:c>
      <x:c r="O106" s="2" t="str">
        <x:v>Company-Calibrated Synthetic Dataset for Academic Analysis — illustrative figures, calibrated to Matco Foods Limited's disclosed scale, not actual company records.</x:v>
      </x:c>
    </x:row>
    <x:row r="107" ht="22" customHeight="1">
      <x:c r="A107" s="10" t="d">
        <x:v>2025-09-08T00:00:00.000Z</x:v>
      </x:c>
      <x:c r="B107" s="2" t="str">
        <x:v>Falak Extreme Basmati Rice 5 kg</x:v>
      </x:c>
      <x:c r="C107" s="2" t="str">
        <x:v>Pakistan domestic retail</x:v>
      </x:c>
      <x:c r="D107" s="11" t="n">
        <x:v>5729</x:v>
      </x:c>
      <x:c r="E107" s="11" t="n">
        <x:v>5411</x:v>
      </x:c>
      <x:c r="F107" s="11" t="n">
        <x:v>2750</x:v>
      </x:c>
      <x:c r="G107" s="11" t="n">
        <x:v>0</x:v>
      </x:c>
      <x:c r="H107" s="12" t="n">
        <x:v>0</x:v>
      </x:c>
      <x:c r="I107" s="11" t="n">
        <x:v>0</x:v>
      </x:c>
      <x:c r="J107" s="11" t="str"/>
      <x:c r="K107" s="11" t="n">
        <x:v>1092</x:v>
      </x:c>
      <x:c r="L107" s="11" t="n">
        <x:v>0</x:v>
      </x:c>
      <x:c r="M107" s="2" t="str"/>
      <x:c r="N107" s="2" t="str">
        <x:v>Train</x:v>
      </x:c>
      <x:c r="O107" s="2" t="str">
        <x:v>Company-Calibrated Synthetic Dataset for Academic Analysis — illustrative figures, calibrated to Matco Foods Limited's disclosed scale, not actual company records.</x:v>
      </x:c>
    </x:row>
    <x:row r="108" ht="22" customHeight="1">
      <x:c r="A108" s="10" t="d">
        <x:v>2025-09-15T00:00:00.000Z</x:v>
      </x:c>
      <x:c r="B108" s="2" t="str">
        <x:v>Falak Extreme Basmati Rice 5 kg</x:v>
      </x:c>
      <x:c r="C108" s="2" t="str">
        <x:v>Pakistan domestic retail</x:v>
      </x:c>
      <x:c r="D108" s="11" t="n">
        <x:v>5870</x:v>
      </x:c>
      <x:c r="E108" s="11" t="n">
        <x:v>5289</x:v>
      </x:c>
      <x:c r="F108" s="11" t="n">
        <x:v>2750</x:v>
      </x:c>
      <x:c r="G108" s="11" t="n">
        <x:v>0</x:v>
      </x:c>
      <x:c r="H108" s="12" t="n">
        <x:v>0</x:v>
      </x:c>
      <x:c r="I108" s="11" t="n">
        <x:v>0</x:v>
      </x:c>
      <x:c r="J108" s="11" t="str"/>
      <x:c r="K108" s="11" t="n">
        <x:v>1102</x:v>
      </x:c>
      <x:c r="L108" s="11" t="n">
        <x:v>0</x:v>
      </x:c>
      <x:c r="M108" s="2" t="str"/>
      <x:c r="N108" s="2" t="str">
        <x:v>Train</x:v>
      </x:c>
      <x:c r="O108" s="2" t="str">
        <x:v>Company-Calibrated Synthetic Dataset for Academic Analysis — illustrative figures, calibrated to Matco Foods Limited's disclosed scale, not actual company records.</x:v>
      </x:c>
    </x:row>
    <x:row r="109" ht="22" customHeight="1">
      <x:c r="A109" s="10" t="d">
        <x:v>2025-09-22T00:00:00.000Z</x:v>
      </x:c>
      <x:c r="B109" s="2" t="str">
        <x:v>Falak Extreme Basmati Rice 5 kg</x:v>
      </x:c>
      <x:c r="C109" s="2" t="str">
        <x:v>Pakistan domestic retail</x:v>
      </x:c>
      <x:c r="D109" s="11" t="n">
        <x:v>5720</x:v>
      </x:c>
      <x:c r="E109" s="11" t="n">
        <x:v>5342</x:v>
      </x:c>
      <x:c r="F109" s="11" t="n">
        <x:v>2750</x:v>
      </x:c>
      <x:c r="G109" s="11" t="n">
        <x:v>0</x:v>
      </x:c>
      <x:c r="H109" s="12" t="n">
        <x:v>0</x:v>
      </x:c>
      <x:c r="I109" s="11" t="n">
        <x:v>0</x:v>
      </x:c>
      <x:c r="J109" s="11" t="str"/>
      <x:c r="K109" s="11" t="n">
        <x:v>1093</x:v>
      </x:c>
      <x:c r="L109" s="11" t="n">
        <x:v>0</x:v>
      </x:c>
      <x:c r="M109" s="2" t="str"/>
      <x:c r="N109" s="2" t="str">
        <x:v>Train</x:v>
      </x:c>
      <x:c r="O109" s="2" t="str">
        <x:v>Company-Calibrated Synthetic Dataset for Academic Analysis — illustrative figures, calibrated to Matco Foods Limited's disclosed scale, not actual company records.</x:v>
      </x:c>
    </x:row>
    <x:row r="110" ht="22" customHeight="1">
      <x:c r="A110" s="10" t="d">
        <x:v>2025-09-29T00:00:00.000Z</x:v>
      </x:c>
      <x:c r="B110" s="2" t="str">
        <x:v>Falak Extreme Basmati Rice 5 kg</x:v>
      </x:c>
      <x:c r="C110" s="2" t="str">
        <x:v>Pakistan domestic retail</x:v>
      </x:c>
      <x:c r="D110" s="11" t="n">
        <x:v>4820</x:v>
      </x:c>
      <x:c r="E110" s="11" t="n">
        <x:v>5304</x:v>
      </x:c>
      <x:c r="F110" s="11" t="n">
        <x:v>2750</x:v>
      </x:c>
      <x:c r="G110" s="11" t="n">
        <x:v>0</x:v>
      </x:c>
      <x:c r="H110" s="12" t="n">
        <x:v>0</x:v>
      </x:c>
      <x:c r="I110" s="11" t="n">
        <x:v>0</x:v>
      </x:c>
      <x:c r="J110" s="11" t="str"/>
      <x:c r="K110" s="11" t="n">
        <x:v>1088</x:v>
      </x:c>
      <x:c r="L110" s="11" t="n">
        <x:v>0</x:v>
      </x:c>
      <x:c r="M110" s="2" t="str"/>
      <x:c r="N110" s="2" t="str">
        <x:v>Train</x:v>
      </x:c>
      <x:c r="O110" s="2" t="str">
        <x:v>Company-Calibrated Synthetic Dataset for Academic Analysis — illustrative figures, calibrated to Matco Foods Limited's disclosed scale, not actual company records.</x:v>
      </x:c>
    </x:row>
    <x:row r="111" ht="22" customHeight="1">
      <x:c r="A111" s="10" t="d">
        <x:v>2025-10-06T00:00:00.000Z</x:v>
      </x:c>
      <x:c r="B111" s="2" t="str">
        <x:v>Falak Extreme Basmati Rice 5 kg</x:v>
      </x:c>
      <x:c r="C111" s="2" t="str">
        <x:v>Pakistan domestic retail</x:v>
      </x:c>
      <x:c r="D111" s="11" t="n">
        <x:v>6649</x:v>
      </x:c>
      <x:c r="E111" s="11" t="n">
        <x:v>5286</x:v>
      </x:c>
      <x:c r="F111" s="11" t="n">
        <x:v>2750</x:v>
      </x:c>
      <x:c r="G111" s="11" t="n">
        <x:v>0</x:v>
      </x:c>
      <x:c r="H111" s="12" t="n">
        <x:v>0</x:v>
      </x:c>
      <x:c r="I111" s="11" t="n">
        <x:v>0</x:v>
      </x:c>
      <x:c r="J111" s="11" t="str"/>
      <x:c r="K111" s="11" t="n">
        <x:v>1074</x:v>
      </x:c>
      <x:c r="L111" s="11" t="n">
        <x:v>0</x:v>
      </x:c>
      <x:c r="M111" s="2" t="str"/>
      <x:c r="N111" s="2" t="str">
        <x:v>Train</x:v>
      </x:c>
      <x:c r="O111" s="2" t="str">
        <x:v>Company-Calibrated Synthetic Dataset for Academic Analysis — illustrative figures, calibrated to Matco Foods Limited's disclosed scale, not actual company records.</x:v>
      </x:c>
    </x:row>
    <x:row r="112" ht="22" customHeight="1">
      <x:c r="A112" s="10" t="d">
        <x:v>2025-10-13T00:00:00.000Z</x:v>
      </x:c>
      <x:c r="B112" s="2" t="str">
        <x:v>Falak Extreme Basmati Rice 5 kg</x:v>
      </x:c>
      <x:c r="C112" s="2" t="str">
        <x:v>Pakistan domestic retail</x:v>
      </x:c>
      <x:c r="D112" s="11" t="n">
        <x:v>5874</x:v>
      </x:c>
      <x:c r="E112" s="11" t="n">
        <x:v>5643</x:v>
      </x:c>
      <x:c r="F112" s="11" t="n">
        <x:v>2750</x:v>
      </x:c>
      <x:c r="G112" s="11" t="n">
        <x:v>1</x:v>
      </x:c>
      <x:c r="H112" s="12" t="n">
        <x:v>0.05</x:v>
      </x:c>
      <x:c r="I112" s="11" t="n">
        <x:v>0</x:v>
      </x:c>
      <x:c r="J112" s="11" t="str"/>
      <x:c r="K112" s="11" t="n">
        <x:v>1072</x:v>
      </x:c>
      <x:c r="L112" s="11" t="n">
        <x:v>0</x:v>
      </x:c>
      <x:c r="M112" s="2" t="str"/>
      <x:c r="N112" s="2" t="str">
        <x:v>Train</x:v>
      </x:c>
      <x:c r="O112" s="2" t="str">
        <x:v>Company-Calibrated Synthetic Dataset for Academic Analysis — illustrative figures, calibrated to Matco Foods Limited's disclosed scale, not actual company records.</x:v>
      </x:c>
    </x:row>
    <x:row r="113" ht="22" customHeight="1">
      <x:c r="A113" s="10" t="d">
        <x:v>2025-10-20T00:00:00.000Z</x:v>
      </x:c>
      <x:c r="B113" s="2" t="str">
        <x:v>Falak Extreme Basmati Rice 5 kg</x:v>
      </x:c>
      <x:c r="C113" s="2" t="str">
        <x:v>Pakistan domestic retail</x:v>
      </x:c>
      <x:c r="D113" s="11" t="n">
        <x:v>5350</x:v>
      </x:c>
      <x:c r="E113" s="11" t="n">
        <x:v>5223</x:v>
      </x:c>
      <x:c r="F113" s="11" t="n">
        <x:v>2750</x:v>
      </x:c>
      <x:c r="G113" s="11" t="n">
        <x:v>0</x:v>
      </x:c>
      <x:c r="H113" s="12" t="n">
        <x:v>0</x:v>
      </x:c>
      <x:c r="I113" s="11" t="n">
        <x:v>0</x:v>
      </x:c>
      <x:c r="J113" s="11" t="str"/>
      <x:c r="K113" s="11" t="n">
        <x:v>1066</x:v>
      </x:c>
      <x:c r="L113" s="11" t="n">
        <x:v>0</x:v>
      </x:c>
      <x:c r="M113" s="2" t="str"/>
      <x:c r="N113" s="2" t="str">
        <x:v>Train</x:v>
      </x:c>
      <x:c r="O113" s="2" t="str">
        <x:v>Company-Calibrated Synthetic Dataset for Academic Analysis — illustrative figures, calibrated to Matco Foods Limited's disclosed scale, not actual company records.</x:v>
      </x:c>
    </x:row>
    <x:row r="114" ht="22" customHeight="1">
      <x:c r="A114" s="10" t="d">
        <x:v>2025-10-27T00:00:00.000Z</x:v>
      </x:c>
      <x:c r="B114" s="2" t="str">
        <x:v>Falak Extreme Basmati Rice 5 kg</x:v>
      </x:c>
      <x:c r="C114" s="2" t="str">
        <x:v>Pakistan domestic retail</x:v>
      </x:c>
      <x:c r="D114" s="11" t="n">
        <x:v>5570</x:v>
      </x:c>
      <x:c r="E114" s="11" t="n">
        <x:v>5202</x:v>
      </x:c>
      <x:c r="F114" s="11" t="n">
        <x:v>2750</x:v>
      </x:c>
      <x:c r="G114" s="11" t="n">
        <x:v>0</x:v>
      </x:c>
      <x:c r="H114" s="12" t="n">
        <x:v>0</x:v>
      </x:c>
      <x:c r="I114" s="11" t="n">
        <x:v>0</x:v>
      </x:c>
      <x:c r="J114" s="11" t="str"/>
      <x:c r="K114" s="11" t="n">
        <x:v>1082</x:v>
      </x:c>
      <x:c r="L114" s="11" t="n">
        <x:v>0</x:v>
      </x:c>
      <x:c r="M114" s="2" t="str"/>
      <x:c r="N114" s="2" t="str">
        <x:v>Train</x:v>
      </x:c>
      <x:c r="O114" s="2" t="str">
        <x:v>Company-Calibrated Synthetic Dataset for Academic Analysis — illustrative figures, calibrated to Matco Foods Limited's disclosed scale, not actual company records.</x:v>
      </x:c>
    </x:row>
    <x:row r="115" ht="22" customHeight="1">
      <x:c r="A115" s="10" t="d">
        <x:v>2025-11-03T00:00:00.000Z</x:v>
      </x:c>
      <x:c r="B115" s="2" t="str">
        <x:v>Falak Extreme Basmati Rice 5 kg</x:v>
      </x:c>
      <x:c r="C115" s="2" t="str">
        <x:v>Pakistan domestic retail</x:v>
      </x:c>
      <x:c r="D115" s="11" t="n">
        <x:v>6840</x:v>
      </x:c>
      <x:c r="E115" s="11" t="n">
        <x:v>5712</x:v>
      </x:c>
      <x:c r="F115" s="11" t="n">
        <x:v>2750</x:v>
      </x:c>
      <x:c r="G115" s="11" t="n">
        <x:v>1</x:v>
      </x:c>
      <x:c r="H115" s="12" t="n">
        <x:v>0.12</x:v>
      </x:c>
      <x:c r="I115" s="11" t="n">
        <x:v>0</x:v>
      </x:c>
      <x:c r="J115" s="11" t="str"/>
      <x:c r="K115" s="11" t="n">
        <x:v>1055</x:v>
      </x:c>
      <x:c r="L115" s="11" t="n">
        <x:v>0</x:v>
      </x:c>
      <x:c r="M115" s="2" t="str"/>
      <x:c r="N115" s="2" t="str">
        <x:v>Train</x:v>
      </x:c>
      <x:c r="O115" s="2" t="str">
        <x:v>Company-Calibrated Synthetic Dataset for Academic Analysis — illustrative figures, calibrated to Matco Foods Limited's disclosed scale, not actual company records.</x:v>
      </x:c>
    </x:row>
    <x:row r="116" ht="22" customHeight="1">
      <x:c r="A116" s="10" t="d">
        <x:v>2025-11-10T00:00:00.000Z</x:v>
      </x:c>
      <x:c r="B116" s="2" t="str">
        <x:v>Falak Extreme Basmati Rice 5 kg</x:v>
      </x:c>
      <x:c r="C116" s="2" t="str">
        <x:v>Pakistan domestic retail</x:v>
      </x:c>
      <x:c r="D116" s="11" t="n">
        <x:v>5589</x:v>
      </x:c>
      <x:c r="E116" s="11" t="n">
        <x:v>5166</x:v>
      </x:c>
      <x:c r="F116" s="11" t="n">
        <x:v>2750</x:v>
      </x:c>
      <x:c r="G116" s="11" t="n">
        <x:v>0</x:v>
      </x:c>
      <x:c r="H116" s="12" t="n">
        <x:v>0</x:v>
      </x:c>
      <x:c r="I116" s="11" t="n">
        <x:v>0</x:v>
      </x:c>
      <x:c r="J116" s="11" t="str"/>
      <x:c r="K116" s="11" t="n">
        <x:v>1060</x:v>
      </x:c>
      <x:c r="L116" s="11" t="n">
        <x:v>0</x:v>
      </x:c>
      <x:c r="M116" s="2" t="str"/>
      <x:c r="N116" s="2" t="str">
        <x:v>Train</x:v>
      </x:c>
      <x:c r="O116" s="2" t="str">
        <x:v>Company-Calibrated Synthetic Dataset for Academic Analysis — illustrative figures, calibrated to Matco Foods Limited's disclosed scale, not actual company records.</x:v>
      </x:c>
    </x:row>
    <x:row r="117" ht="22" customHeight="1">
      <x:c r="A117" s="10" t="d">
        <x:v>2025-11-17T00:00:00.000Z</x:v>
      </x:c>
      <x:c r="B117" s="2" t="str">
        <x:v>Falak Extreme Basmati Rice 5 kg</x:v>
      </x:c>
      <x:c r="C117" s="2" t="str">
        <x:v>Pakistan domestic retail</x:v>
      </x:c>
      <x:c r="D117" s="11" t="n">
        <x:v>5854</x:v>
      </x:c>
      <x:c r="E117" s="11" t="n">
        <x:v>5200</x:v>
      </x:c>
      <x:c r="F117" s="11" t="n">
        <x:v>2750</x:v>
      </x:c>
      <x:c r="G117" s="11" t="n">
        <x:v>0</x:v>
      </x:c>
      <x:c r="H117" s="12" t="n">
        <x:v>0</x:v>
      </x:c>
      <x:c r="I117" s="11" t="n">
        <x:v>0</x:v>
      </x:c>
      <x:c r="J117" s="11" t="str"/>
      <x:c r="K117" s="11" t="n">
        <x:v>1095</x:v>
      </x:c>
      <x:c r="L117" s="11" t="n">
        <x:v>0</x:v>
      </x:c>
      <x:c r="M117" s="2" t="str"/>
      <x:c r="N117" s="2" t="str">
        <x:v>Train</x:v>
      </x:c>
      <x:c r="O117" s="2" t="str">
        <x:v>Company-Calibrated Synthetic Dataset for Academic Analysis — illustrative figures, calibrated to Matco Foods Limited's disclosed scale, not actual company records.</x:v>
      </x:c>
    </x:row>
    <x:row r="118" ht="22" customHeight="1">
      <x:c r="A118" s="10" t="d">
        <x:v>2025-11-24T00:00:00.000Z</x:v>
      </x:c>
      <x:c r="B118" s="2" t="str">
        <x:v>Falak Extreme Basmati Rice 5 kg</x:v>
      </x:c>
      <x:c r="C118" s="2" t="str">
        <x:v>Pakistan domestic retail</x:v>
      </x:c>
      <x:c r="D118" s="11" t="n">
        <x:v>5305</x:v>
      </x:c>
      <x:c r="E118" s="11" t="n">
        <x:v>5382</x:v>
      </x:c>
      <x:c r="F118" s="11" t="n">
        <x:v>2750</x:v>
      </x:c>
      <x:c r="G118" s="11" t="n">
        <x:v>0</x:v>
      </x:c>
      <x:c r="H118" s="12" t="n">
        <x:v>0</x:v>
      </x:c>
      <x:c r="I118" s="11" t="n">
        <x:v>0</x:v>
      </x:c>
      <x:c r="J118" s="11" t="str"/>
      <x:c r="K118" s="11" t="n">
        <x:v>1077</x:v>
      </x:c>
      <x:c r="L118" s="11" t="n">
        <x:v>0</x:v>
      </x:c>
      <x:c r="M118" s="2" t="str"/>
      <x:c r="N118" s="2" t="str">
        <x:v>Train</x:v>
      </x:c>
      <x:c r="O118" s="2" t="str">
        <x:v>Company-Calibrated Synthetic Dataset for Academic Analysis — illustrative figures, calibrated to Matco Foods Limited's disclosed scale, not actual company records.</x:v>
      </x:c>
    </x:row>
    <x:row r="119" ht="22" customHeight="1">
      <x:c r="A119" s="10" t="d">
        <x:v>2025-12-01T00:00:00.000Z</x:v>
      </x:c>
      <x:c r="B119" s="2" t="str">
        <x:v>Falak Extreme Basmati Rice 5 kg</x:v>
      </x:c>
      <x:c r="C119" s="2" t="str">
        <x:v>Pakistan domestic retail</x:v>
      </x:c>
      <x:c r="D119" s="11" t="n">
        <x:v>7305</x:v>
      </x:c>
      <x:c r="E119" s="11" t="n">
        <x:v>5728</x:v>
      </x:c>
      <x:c r="F119" s="11" t="n">
        <x:v>2750</x:v>
      </x:c>
      <x:c r="G119" s="11" t="n">
        <x:v>1</x:v>
      </x:c>
      <x:c r="H119" s="12" t="n">
        <x:v>0.08</x:v>
      </x:c>
      <x:c r="I119" s="11" t="n">
        <x:v>0</x:v>
      </x:c>
      <x:c r="J119" s="11" t="str"/>
      <x:c r="K119" s="11" t="n">
        <x:v>1074</x:v>
      </x:c>
      <x:c r="L119" s="11" t="n">
        <x:v>0</x:v>
      </x:c>
      <x:c r="M119" s="2" t="str"/>
      <x:c r="N119" s="2" t="str">
        <x:v>Train</x:v>
      </x:c>
      <x:c r="O119" s="2" t="str">
        <x:v>Company-Calibrated Synthetic Dataset for Academic Analysis — illustrative figures, calibrated to Matco Foods Limited's disclosed scale, not actual company records.</x:v>
      </x:c>
    </x:row>
    <x:row r="120" ht="22" customHeight="1">
      <x:c r="A120" s="10" t="d">
        <x:v>2025-12-08T00:00:00.000Z</x:v>
      </x:c>
      <x:c r="B120" s="2" t="str">
        <x:v>Falak Extreme Basmati Rice 5 kg</x:v>
      </x:c>
      <x:c r="C120" s="2" t="str">
        <x:v>Pakistan domestic retail</x:v>
      </x:c>
      <x:c r="D120" s="11" t="n">
        <x:v>5307</x:v>
      </x:c>
      <x:c r="E120" s="11" t="n">
        <x:v>5299</x:v>
      </x:c>
      <x:c r="F120" s="11" t="n">
        <x:v>2750</x:v>
      </x:c>
      <x:c r="G120" s="11" t="n">
        <x:v>0</x:v>
      </x:c>
      <x:c r="H120" s="12" t="n">
        <x:v>0</x:v>
      </x:c>
      <x:c r="I120" s="11" t="n">
        <x:v>0</x:v>
      </x:c>
      <x:c r="J120" s="11" t="str"/>
      <x:c r="K120" s="11" t="n">
        <x:v>1072</x:v>
      </x:c>
      <x:c r="L120" s="11" t="n">
        <x:v>0</x:v>
      </x:c>
      <x:c r="M120" s="2" t="str"/>
      <x:c r="N120" s="2" t="str">
        <x:v>Train</x:v>
      </x:c>
      <x:c r="O120" s="2" t="str">
        <x:v>Company-Calibrated Synthetic Dataset for Academic Analysis — illustrative figures, calibrated to Matco Foods Limited's disclosed scale, not actual company records.</x:v>
      </x:c>
    </x:row>
    <x:row r="121" ht="22" customHeight="1">
      <x:c r="A121" s="10" t="d">
        <x:v>2025-12-15T00:00:00.000Z</x:v>
      </x:c>
      <x:c r="B121" s="2" t="str">
        <x:v>Falak Extreme Basmati Rice 5 kg</x:v>
      </x:c>
      <x:c r="C121" s="2" t="str">
        <x:v>Pakistan domestic retail</x:v>
      </x:c>
      <x:c r="D121" s="11" t="n">
        <x:v>5573</x:v>
      </x:c>
      <x:c r="E121" s="11" t="n">
        <x:v>5299</x:v>
      </x:c>
      <x:c r="F121" s="11" t="n">
        <x:v>2750</x:v>
      </x:c>
      <x:c r="G121" s="11" t="n">
        <x:v>0</x:v>
      </x:c>
      <x:c r="H121" s="12" t="n">
        <x:v>0</x:v>
      </x:c>
      <x:c r="I121" s="11" t="n">
        <x:v>0</x:v>
      </x:c>
      <x:c r="J121" s="11" t="str"/>
      <x:c r="K121" s="11" t="n">
        <x:v>1090</x:v>
      </x:c>
      <x:c r="L121" s="11" t="n">
        <x:v>0</x:v>
      </x:c>
      <x:c r="M121" s="2" t="str"/>
      <x:c r="N121" s="2" t="str">
        <x:v>Train</x:v>
      </x:c>
      <x:c r="O121" s="2" t="str">
        <x:v>Company-Calibrated Synthetic Dataset for Academic Analysis — illustrative figures, calibrated to Matco Foods Limited's disclosed scale, not actual company records.</x:v>
      </x:c>
    </x:row>
    <x:row r="122" ht="22" customHeight="1">
      <x:c r="A122" s="10" t="d">
        <x:v>2025-12-22T00:00:00.000Z</x:v>
      </x:c>
      <x:c r="B122" s="2" t="str">
        <x:v>Falak Extreme Basmati Rice 5 kg</x:v>
      </x:c>
      <x:c r="C122" s="2" t="str">
        <x:v>Pakistan domestic retail</x:v>
      </x:c>
      <x:c r="D122" s="11" t="n">
        <x:v>5645</x:v>
      </x:c>
      <x:c r="E122" s="11" t="n">
        <x:v>5398</x:v>
      </x:c>
      <x:c r="F122" s="11" t="n">
        <x:v>2750</x:v>
      </x:c>
      <x:c r="G122" s="11" t="n">
        <x:v>0</x:v>
      </x:c>
      <x:c r="H122" s="12" t="n">
        <x:v>0</x:v>
      </x:c>
      <x:c r="I122" s="11" t="n">
        <x:v>0</x:v>
      </x:c>
      <x:c r="J122" s="11" t="str"/>
      <x:c r="K122" s="11" t="n">
        <x:v>1093</x:v>
      </x:c>
      <x:c r="L122" s="11" t="n">
        <x:v>0</x:v>
      </x:c>
      <x:c r="M122" s="2" t="str"/>
      <x:c r="N122" s="2" t="str">
        <x:v>Train</x:v>
      </x:c>
      <x:c r="O122" s="2" t="str">
        <x:v>Company-Calibrated Synthetic Dataset for Academic Analysis — illustrative figures, calibrated to Matco Foods Limited's disclosed scale, not actual company records.</x:v>
      </x:c>
    </x:row>
    <x:row r="123" ht="22" customHeight="1">
      <x:c r="A123" s="10" t="d">
        <x:v>2025-12-29T00:00:00.000Z</x:v>
      </x:c>
      <x:c r="B123" s="2" t="str">
        <x:v>Falak Extreme Basmati Rice 5 kg</x:v>
      </x:c>
      <x:c r="C123" s="2" t="str">
        <x:v>Pakistan domestic retail</x:v>
      </x:c>
      <x:c r="D123" s="11" t="n">
        <x:v>5305</x:v>
      </x:c>
      <x:c r="E123" s="11" t="n">
        <x:v>5422</x:v>
      </x:c>
      <x:c r="F123" s="11" t="n">
        <x:v>2750</x:v>
      </x:c>
      <x:c r="G123" s="11" t="n">
        <x:v>0</x:v>
      </x:c>
      <x:c r="H123" s="12" t="n">
        <x:v>0</x:v>
      </x:c>
      <x:c r="I123" s="11" t="n">
        <x:v>0</x:v>
      </x:c>
      <x:c r="J123" s="11" t="str"/>
      <x:c r="K123" s="11" t="n">
        <x:v>1131</x:v>
      </x:c>
      <x:c r="L123" s="11" t="n">
        <x:v>0</x:v>
      </x:c>
      <x:c r="M123" s="2" t="str"/>
      <x:c r="N123" s="2" t="str">
        <x:v>Train</x:v>
      </x:c>
      <x:c r="O123" s="2" t="str">
        <x:v>Company-Calibrated Synthetic Dataset for Academic Analysis — illustrative figures, calibrated to Matco Foods Limited's disclosed scale, not actual company records.</x:v>
      </x:c>
    </x:row>
    <x:row r="124" ht="22" customHeight="1">
      <x:c r="A124" s="10" t="d">
        <x:v>2026-01-05T00:00:00.000Z</x:v>
      </x:c>
      <x:c r="B124" s="2" t="str">
        <x:v>Falak Extreme Basmati Rice 5 kg</x:v>
      </x:c>
      <x:c r="C124" s="2" t="str">
        <x:v>Pakistan domestic retail</x:v>
      </x:c>
      <x:c r="D124" s="11" t="n">
        <x:v>5756</x:v>
      </x:c>
      <x:c r="E124" s="11" t="n">
        <x:v>5620</x:v>
      </x:c>
      <x:c r="F124" s="11" t="n">
        <x:v>2750</x:v>
      </x:c>
      <x:c r="G124" s="11" t="n">
        <x:v>0</x:v>
      </x:c>
      <x:c r="H124" s="12" t="n">
        <x:v>0</x:v>
      </x:c>
      <x:c r="I124" s="11" t="n">
        <x:v>0</x:v>
      </x:c>
      <x:c r="J124" s="11" t="str"/>
      <x:c r="K124" s="11" t="n">
        <x:v>1137</x:v>
      </x:c>
      <x:c r="L124" s="11" t="n">
        <x:v>0</x:v>
      </x:c>
      <x:c r="M124" s="2" t="str"/>
      <x:c r="N124" s="2" t="str">
        <x:v>Train</x:v>
      </x:c>
      <x:c r="O124" s="2" t="str">
        <x:v>Company-Calibrated Synthetic Dataset for Academic Analysis — illustrative figures, calibrated to Matco Foods Limited's disclosed scale, not actual company records.</x:v>
      </x:c>
    </x:row>
    <x:row r="125" ht="22" customHeight="1">
      <x:c r="A125" s="10" t="d">
        <x:v>2026-01-12T00:00:00.000Z</x:v>
      </x:c>
      <x:c r="B125" s="2" t="str">
        <x:v>Falak Extreme Basmati Rice 5 kg</x:v>
      </x:c>
      <x:c r="C125" s="2" t="str">
        <x:v>Pakistan domestic retail</x:v>
      </x:c>
      <x:c r="D125" s="11" t="n">
        <x:v>6280</x:v>
      </x:c>
      <x:c r="E125" s="11" t="n">
        <x:v>6111</x:v>
      </x:c>
      <x:c r="F125" s="11" t="n">
        <x:v>2750</x:v>
      </x:c>
      <x:c r="G125" s="11" t="n">
        <x:v>1</x:v>
      </x:c>
      <x:c r="H125" s="12" t="n">
        <x:v>0.05</x:v>
      </x:c>
      <x:c r="I125" s="11" t="n">
        <x:v>0</x:v>
      </x:c>
      <x:c r="J125" s="11" t="str"/>
      <x:c r="K125" s="11" t="n">
        <x:v>1133</x:v>
      </x:c>
      <x:c r="L125" s="11" t="n">
        <x:v>0</x:v>
      </x:c>
      <x:c r="M125" s="2" t="str"/>
      <x:c r="N125" s="2" t="str">
        <x:v>Train</x:v>
      </x:c>
      <x:c r="O125" s="2" t="str">
        <x:v>Company-Calibrated Synthetic Dataset for Academic Analysis — illustrative figures, calibrated to Matco Foods Limited's disclosed scale, not actual company records.</x:v>
      </x:c>
    </x:row>
    <x:row r="126" ht="22" customHeight="1">
      <x:c r="A126" s="10" t="d">
        <x:v>2026-01-19T00:00:00.000Z</x:v>
      </x:c>
      <x:c r="B126" s="2" t="str">
        <x:v>Falak Extreme Basmati Rice 5 kg</x:v>
      </x:c>
      <x:c r="C126" s="2" t="str">
        <x:v>Pakistan domestic retail</x:v>
      </x:c>
      <x:c r="D126" s="11" t="n">
        <x:v>5610</x:v>
      </x:c>
      <x:c r="E126" s="11" t="n">
        <x:v>5647</x:v>
      </x:c>
      <x:c r="F126" s="11" t="n">
        <x:v>2800</x:v>
      </x:c>
      <x:c r="G126" s="11" t="n">
        <x:v>0</x:v>
      </x:c>
      <x:c r="H126" s="12" t="n">
        <x:v>0</x:v>
      </x:c>
      <x:c r="I126" s="11" t="n">
        <x:v>0</x:v>
      </x:c>
      <x:c r="J126" s="11" t="str"/>
      <x:c r="K126" s="11" t="n">
        <x:v>1121</x:v>
      </x:c>
      <x:c r="L126" s="11" t="n">
        <x:v>0</x:v>
      </x:c>
      <x:c r="M126" s="2" t="str"/>
      <x:c r="N126" s="2" t="str">
        <x:v>Train</x:v>
      </x:c>
      <x:c r="O126" s="2" t="str">
        <x:v>Company-Calibrated Synthetic Dataset for Academic Analysis — illustrative figures, calibrated to Matco Foods Limited's disclosed scale, not actual company records.</x:v>
      </x:c>
    </x:row>
    <x:row r="127" ht="22" customHeight="1">
      <x:c r="A127" s="10" t="d">
        <x:v>2026-01-26T00:00:00.000Z</x:v>
      </x:c>
      <x:c r="B127" s="2" t="str">
        <x:v>Falak Extreme Basmati Rice 5 kg</x:v>
      </x:c>
      <x:c r="C127" s="2" t="str">
        <x:v>Pakistan domestic retail</x:v>
      </x:c>
      <x:c r="D127" s="11" t="n">
        <x:v>5307</x:v>
      </x:c>
      <x:c r="E127" s="11" t="n">
        <x:v>5565</x:v>
      </x:c>
      <x:c r="F127" s="11" t="n">
        <x:v>2800</x:v>
      </x:c>
      <x:c r="G127" s="11" t="n">
        <x:v>0</x:v>
      </x:c>
      <x:c r="H127" s="12" t="n">
        <x:v>0</x:v>
      </x:c>
      <x:c r="I127" s="11" t="n">
        <x:v>0</x:v>
      </x:c>
      <x:c r="J127" s="11" t="str"/>
      <x:c r="K127" s="11" t="n">
        <x:v>1140</x:v>
      </x:c>
      <x:c r="L127" s="11" t="n">
        <x:v>0</x:v>
      </x:c>
      <x:c r="M127" s="2" t="str"/>
      <x:c r="N127" s="2" t="str">
        <x:v>Train</x:v>
      </x:c>
      <x:c r="O127" s="2" t="str">
        <x:v>Company-Calibrated Synthetic Dataset for Academic Analysis — illustrative figures, calibrated to Matco Foods Limited's disclosed scale, not actual company records.</x:v>
      </x:c>
    </x:row>
    <x:row r="128" ht="22" customHeight="1">
      <x:c r="A128" s="10" t="d">
        <x:v>2026-02-02T00:00:00.000Z</x:v>
      </x:c>
      <x:c r="B128" s="2" t="str">
        <x:v>Falak Extreme Basmati Rice 5 kg</x:v>
      </x:c>
      <x:c r="C128" s="2" t="str">
        <x:v>Pakistan domestic retail</x:v>
      </x:c>
      <x:c r="D128" s="11" t="n">
        <x:v>7601</x:v>
      </x:c>
      <x:c r="E128" s="11" t="n">
        <x:v>6119</x:v>
      </x:c>
      <x:c r="F128" s="11" t="n">
        <x:v>2800</x:v>
      </x:c>
      <x:c r="G128" s="11" t="n">
        <x:v>1</x:v>
      </x:c>
      <x:c r="H128" s="12" t="n">
        <x:v>0.1</x:v>
      </x:c>
      <x:c r="I128" s="11" t="n">
        <x:v>0</x:v>
      </x:c>
      <x:c r="J128" s="11" t="str"/>
      <x:c r="K128" s="11" t="n">
        <x:v>1154</x:v>
      </x:c>
      <x:c r="L128" s="11" t="n">
        <x:v>0</x:v>
      </x:c>
      <x:c r="M128" s="2" t="str"/>
      <x:c r="N128" s="2" t="str">
        <x:v>Train</x:v>
      </x:c>
      <x:c r="O128" s="2" t="str">
        <x:v>Company-Calibrated Synthetic Dataset for Academic Analysis — illustrative figures, calibrated to Matco Foods Limited's disclosed scale, not actual company records.</x:v>
      </x:c>
    </x:row>
    <x:row r="129" ht="22" customHeight="1">
      <x:c r="A129" s="10" t="d">
        <x:v>2026-02-09T00:00:00.000Z</x:v>
      </x:c>
      <x:c r="B129" s="2" t="str">
        <x:v>Falak Extreme Basmati Rice 5 kg</x:v>
      </x:c>
      <x:c r="C129" s="2" t="str">
        <x:v>Pakistan domestic retail</x:v>
      </x:c>
      <x:c r="D129" s="11" t="n">
        <x:v>6406</x:v>
      </x:c>
      <x:c r="E129" s="11" t="n">
        <x:v>6316</x:v>
      </x:c>
      <x:c r="F129" s="11" t="n">
        <x:v>2800</x:v>
      </x:c>
      <x:c r="G129" s="11" t="n">
        <x:v>0</x:v>
      </x:c>
      <x:c r="H129" s="12" t="n">
        <x:v>0</x:v>
      </x:c>
      <x:c r="I129" s="11" t="n">
        <x:v>1</x:v>
      </x:c>
      <x:c r="J129" s="11" t="str">
        <x:v>Ramadan stocking</x:v>
      </x:c>
      <x:c r="K129" s="11" t="n">
        <x:v>1124</x:v>
      </x:c>
      <x:c r="L129" s="11" t="n">
        <x:v>0</x:v>
      </x:c>
      <x:c r="M129" s="2" t="str"/>
      <x:c r="N129" s="2" t="str">
        <x:v>Train</x:v>
      </x:c>
      <x:c r="O129" s="2" t="str">
        <x:v>Company-Calibrated Synthetic Dataset for Academic Analysis — illustrative figures, calibrated to Matco Foods Limited's disclosed scale, not actual company records.</x:v>
      </x:c>
    </x:row>
    <x:row r="130" ht="22" customHeight="1">
      <x:c r="A130" s="10" t="d">
        <x:v>2026-02-16T00:00:00.000Z</x:v>
      </x:c>
      <x:c r="B130" s="2" t="str">
        <x:v>Falak Extreme Basmati Rice 5 kg</x:v>
      </x:c>
      <x:c r="C130" s="2" t="str">
        <x:v>Pakistan domestic retail</x:v>
      </x:c>
      <x:c r="D130" s="11" t="n">
        <x:v>7041</x:v>
      </x:c>
      <x:c r="E130" s="11" t="n">
        <x:v>6157</x:v>
      </x:c>
      <x:c r="F130" s="11" t="n">
        <x:v>2800</x:v>
      </x:c>
      <x:c r="G130" s="11" t="n">
        <x:v>0</x:v>
      </x:c>
      <x:c r="H130" s="12" t="n">
        <x:v>0</x:v>
      </x:c>
      <x:c r="I130" s="11" t="n">
        <x:v>1</x:v>
      </x:c>
      <x:c r="J130" s="11" t="str">
        <x:v>Ramadan stocking; Ramadan</x:v>
      </x:c>
      <x:c r="K130" s="11" t="n">
        <x:v>1138</x:v>
      </x:c>
      <x:c r="L130" s="11" t="n">
        <x:v>0</x:v>
      </x:c>
      <x:c r="M130" s="2" t="str"/>
      <x:c r="N130" s="2" t="str">
        <x:v>Train</x:v>
      </x:c>
      <x:c r="O130" s="2" t="str">
        <x:v>Company-Calibrated Synthetic Dataset for Academic Analysis — illustrative figures, calibrated to Matco Foods Limited's disclosed scale, not actual company records.</x:v>
      </x:c>
    </x:row>
    <x:row r="131" ht="22" customHeight="1">
      <x:c r="A131" s="10" t="d">
        <x:v>2026-02-23T00:00:00.000Z</x:v>
      </x:c>
      <x:c r="B131" s="2" t="str">
        <x:v>Falak Extreme Basmati Rice 5 kg</x:v>
      </x:c>
      <x:c r="C131" s="2" t="str">
        <x:v>Pakistan domestic retail</x:v>
      </x:c>
      <x:c r="D131" s="11" t="n">
        <x:v>5687</x:v>
      </x:c>
      <x:c r="E131" s="11" t="n">
        <x:v>6238</x:v>
      </x:c>
      <x:c r="F131" s="11" t="n">
        <x:v>2800</x:v>
      </x:c>
      <x:c r="G131" s="11" t="n">
        <x:v>0</x:v>
      </x:c>
      <x:c r="H131" s="12" t="n">
        <x:v>0</x:v>
      </x:c>
      <x:c r="I131" s="11" t="n">
        <x:v>1</x:v>
      </x:c>
      <x:c r="J131" s="11" t="str">
        <x:v>Ramadan</x:v>
      </x:c>
      <x:c r="K131" s="11" t="n">
        <x:v>1130</x:v>
      </x:c>
      <x:c r="L131" s="11" t="n">
        <x:v>0</x:v>
      </x:c>
      <x:c r="M131" s="2" t="str"/>
      <x:c r="N131" s="2" t="str">
        <x:v>Train</x:v>
      </x:c>
      <x:c r="O131" s="2" t="str">
        <x:v>Company-Calibrated Synthetic Dataset for Academic Analysis — illustrative figures, calibrated to Matco Foods Limited's disclosed scale, not actual company records.</x:v>
      </x:c>
    </x:row>
    <x:row r="132" ht="22" customHeight="1">
      <x:c r="A132" s="10" t="d">
        <x:v>2026-03-02T00:00:00.000Z</x:v>
      </x:c>
      <x:c r="B132" s="2" t="str">
        <x:v>Falak Extreme Basmati Rice 5 kg</x:v>
      </x:c>
      <x:c r="C132" s="2" t="str">
        <x:v>Pakistan domestic retail</x:v>
      </x:c>
      <x:c r="D132" s="11" t="n">
        <x:v>7453</x:v>
      </x:c>
      <x:c r="E132" s="11" t="n">
        <x:v>6648</x:v>
      </x:c>
      <x:c r="F132" s="11" t="n">
        <x:v>2800</x:v>
      </x:c>
      <x:c r="G132" s="11" t="n">
        <x:v>1</x:v>
      </x:c>
      <x:c r="H132" s="12" t="n">
        <x:v>0.1</x:v>
      </x:c>
      <x:c r="I132" s="11" t="n">
        <x:v>1</x:v>
      </x:c>
      <x:c r="J132" s="11" t="str">
        <x:v>Ramadan</x:v>
      </x:c>
      <x:c r="K132" s="11" t="n">
        <x:v>1107</x:v>
      </x:c>
      <x:c r="L132" s="11" t="n">
        <x:v>0</x:v>
      </x:c>
      <x:c r="M132" s="2" t="str"/>
      <x:c r="N132" s="2" t="str">
        <x:v>Train</x:v>
      </x:c>
      <x:c r="O132" s="2" t="str">
        <x:v>Company-Calibrated Synthetic Dataset for Academic Analysis — illustrative figures, calibrated to Matco Foods Limited's disclosed scale, not actual company records.</x:v>
      </x:c>
    </x:row>
    <x:row r="133" ht="22" customHeight="1">
      <x:c r="A133" s="10" t="d">
        <x:v>2026-03-09T00:00:00.000Z</x:v>
      </x:c>
      <x:c r="B133" s="2" t="str">
        <x:v>Falak Extreme Basmati Rice 5 kg</x:v>
      </x:c>
      <x:c r="C133" s="2" t="str">
        <x:v>Pakistan domestic retail</x:v>
      </x:c>
      <x:c r="D133" s="11" t="n">
        <x:v>5805</x:v>
      </x:c>
      <x:c r="E133" s="11" t="n">
        <x:v>6073</x:v>
      </x:c>
      <x:c r="F133" s="11" t="n">
        <x:v>2800</x:v>
      </x:c>
      <x:c r="G133" s="11" t="n">
        <x:v>0</x:v>
      </x:c>
      <x:c r="H133" s="12" t="n">
        <x:v>0</x:v>
      </x:c>
      <x:c r="I133" s="11" t="n">
        <x:v>1</x:v>
      </x:c>
      <x:c r="J133" s="11" t="str">
        <x:v>Ramadan; Eid-ul-Fitr</x:v>
      </x:c>
      <x:c r="K133" s="11" t="n">
        <x:v>1100</x:v>
      </x:c>
      <x:c r="L133" s="11" t="n">
        <x:v>0</x:v>
      </x:c>
      <x:c r="M133" s="2" t="str"/>
      <x:c r="N133" s="2" t="str">
        <x:v>Train</x:v>
      </x:c>
      <x:c r="O133" s="2" t="str">
        <x:v>Company-Calibrated Synthetic Dataset for Academic Analysis — illustrative figures, calibrated to Matco Foods Limited's disclosed scale, not actual company records.</x:v>
      </x:c>
    </x:row>
    <x:row r="134" ht="22" customHeight="1">
      <x:c r="A134" s="10" t="d">
        <x:v>2026-03-16T00:00:00.000Z</x:v>
      </x:c>
      <x:c r="B134" s="2" t="str">
        <x:v>Falak Extreme Basmati Rice 5 kg</x:v>
      </x:c>
      <x:c r="C134" s="2" t="str">
        <x:v>Pakistan domestic retail</x:v>
      </x:c>
      <x:c r="D134" s="11" t="n">
        <x:v>6801</x:v>
      </x:c>
      <x:c r="E134" s="11" t="n">
        <x:v>6036</x:v>
      </x:c>
      <x:c r="F134" s="11" t="n">
        <x:v>2800</x:v>
      </x:c>
      <x:c r="G134" s="11" t="n">
        <x:v>0</x:v>
      </x:c>
      <x:c r="H134" s="12" t="n">
        <x:v>0</x:v>
      </x:c>
      <x:c r="I134" s="11" t="n">
        <x:v>1</x:v>
      </x:c>
      <x:c r="J134" s="11" t="str">
        <x:v>Eid-ul-Fitr</x:v>
      </x:c>
      <x:c r="K134" s="11" t="n">
        <x:v>1097</x:v>
      </x:c>
      <x:c r="L134" s="11" t="n">
        <x:v>0</x:v>
      </x:c>
      <x:c r="M134" s="2" t="str"/>
      <x:c r="N134" s="2" t="str">
        <x:v>Train</x:v>
      </x:c>
      <x:c r="O134" s="2" t="str">
        <x:v>Company-Calibrated Synthetic Dataset for Academic Analysis — illustrative figures, calibrated to Matco Foods Limited's disclosed scale, not actual company records.</x:v>
      </x:c>
    </x:row>
    <x:row r="135" ht="22" customHeight="1">
      <x:c r="A135" s="10" t="d">
        <x:v>2026-03-23T00:00:00.000Z</x:v>
      </x:c>
      <x:c r="B135" s="2" t="str">
        <x:v>Falak Extreme Basmati Rice 5 kg</x:v>
      </x:c>
      <x:c r="C135" s="2" t="str">
        <x:v>Pakistan domestic retail</x:v>
      </x:c>
      <x:c r="D135" s="11" t="n">
        <x:v>5213</x:v>
      </x:c>
      <x:c r="E135" s="11" t="n">
        <x:v>6020</x:v>
      </x:c>
      <x:c r="F135" s="11" t="n">
        <x:v>2800</x:v>
      </x:c>
      <x:c r="G135" s="11" t="n">
        <x:v>0</x:v>
      </x:c>
      <x:c r="H135" s="12" t="n">
        <x:v>0</x:v>
      </x:c>
      <x:c r="I135" s="11" t="n">
        <x:v>1</x:v>
      </x:c>
      <x:c r="J135" s="11" t="str">
        <x:v>Eid-ul-Fitr</x:v>
      </x:c>
      <x:c r="K135" s="11" t="n">
        <x:v>1076</x:v>
      </x:c>
      <x:c r="L135" s="11" t="n">
        <x:v>0</x:v>
      </x:c>
      <x:c r="M135" s="2" t="str"/>
      <x:c r="N135" s="2" t="str">
        <x:v>Train</x:v>
      </x:c>
      <x:c r="O135" s="2" t="str">
        <x:v>Company-Calibrated Synthetic Dataset for Academic Analysis — illustrative figures, calibrated to Matco Foods Limited's disclosed scale, not actual company records.</x:v>
      </x:c>
    </x:row>
    <x:row r="136" ht="22" customHeight="1">
      <x:c r="A136" s="10" t="d">
        <x:v>2026-03-30T00:00:00.000Z</x:v>
      </x:c>
      <x:c r="B136" s="2" t="str">
        <x:v>Falak Extreme Basmati Rice 5 kg</x:v>
      </x:c>
      <x:c r="C136" s="2" t="str">
        <x:v>Pakistan domestic retail</x:v>
      </x:c>
      <x:c r="D136" s="11" t="n">
        <x:v>3974</x:v>
      </x:c>
      <x:c r="E136" s="11" t="n">
        <x:v>5367</x:v>
      </x:c>
      <x:c r="F136" s="11" t="n">
        <x:v>2800</x:v>
      </x:c>
      <x:c r="G136" s="11" t="n">
        <x:v>0</x:v>
      </x:c>
      <x:c r="H136" s="12" t="n">
        <x:v>0</x:v>
      </x:c>
      <x:c r="I136" s="11" t="n">
        <x:v>0</x:v>
      </x:c>
      <x:c r="J136" s="11" t="str"/>
      <x:c r="K136" s="11" t="n">
        <x:v>1093</x:v>
      </x:c>
      <x:c r="L136" s="11" t="n">
        <x:v>1</x:v>
      </x:c>
      <x:c r="M136" s="2" t="str">
        <x:v>Illustrative packaging supply delay</x:v>
      </x:c>
      <x:c r="N136" s="2" t="str">
        <x:v>Train</x:v>
      </x:c>
      <x:c r="O136" s="2" t="str">
        <x:v>Company-Calibrated Synthetic Dataset for Academic Analysis — illustrative figures, calibrated to Matco Foods Limited's disclosed scale, not actual company records.</x:v>
      </x:c>
    </x:row>
    <x:row r="137" ht="22" customHeight="1">
      <x:c r="A137" s="10" t="d">
        <x:v>2026-04-06T00:00:00.000Z</x:v>
      </x:c>
      <x:c r="B137" s="2" t="str">
        <x:v>Falak Extreme Basmati Rice 5 kg</x:v>
      </x:c>
      <x:c r="C137" s="2" t="str">
        <x:v>Pakistan domestic retail</x:v>
      </x:c>
      <x:c r="D137" s="11" t="n">
        <x:v>4003</x:v>
      </x:c>
      <x:c r="E137" s="11" t="n">
        <x:v>5449</x:v>
      </x:c>
      <x:c r="F137" s="11" t="n">
        <x:v>2800</x:v>
      </x:c>
      <x:c r="G137" s="11" t="n">
        <x:v>0</x:v>
      </x:c>
      <x:c r="H137" s="12" t="n">
        <x:v>0</x:v>
      </x:c>
      <x:c r="I137" s="11" t="n">
        <x:v>0</x:v>
      </x:c>
      <x:c r="J137" s="11" t="str"/>
      <x:c r="K137" s="11" t="n">
        <x:v>1092</x:v>
      </x:c>
      <x:c r="L137" s="11" t="n">
        <x:v>1</x:v>
      </x:c>
      <x:c r="M137" s="2" t="str">
        <x:v>Illustrative packaging supply delay</x:v>
      </x:c>
      <x:c r="N137" s="2" t="str">
        <x:v>Train</x:v>
      </x:c>
      <x:c r="O137" s="2" t="str">
        <x:v>Company-Calibrated Synthetic Dataset for Academic Analysis — illustrative figures, calibrated to Matco Foods Limited's disclosed scale, not actual company records.</x:v>
      </x:c>
    </x:row>
    <x:row r="138" ht="22" customHeight="1">
      <x:c r="A138" s="10" t="d">
        <x:v>2026-04-13T00:00:00.000Z</x:v>
      </x:c>
      <x:c r="B138" s="2" t="str">
        <x:v>Falak Extreme Basmati Rice 5 kg</x:v>
      </x:c>
      <x:c r="C138" s="2" t="str">
        <x:v>Pakistan domestic retail</x:v>
      </x:c>
      <x:c r="D138" s="11" t="n">
        <x:v>5860</x:v>
      </x:c>
      <x:c r="E138" s="11" t="n">
        <x:v>5877</x:v>
      </x:c>
      <x:c r="F138" s="11" t="n">
        <x:v>2800</x:v>
      </x:c>
      <x:c r="G138" s="11" t="n">
        <x:v>1</x:v>
      </x:c>
      <x:c r="H138" s="12" t="n">
        <x:v>0.08</x:v>
      </x:c>
      <x:c r="I138" s="11" t="n">
        <x:v>0</x:v>
      </x:c>
      <x:c r="J138" s="11" t="str"/>
      <x:c r="K138" s="11" t="n">
        <x:v>1086</x:v>
      </x:c>
      <x:c r="L138" s="11" t="n">
        <x:v>0</x:v>
      </x:c>
      <x:c r="M138" s="2" t="str"/>
      <x:c r="N138" s="2" t="str">
        <x:v>Train</x:v>
      </x:c>
      <x:c r="O138" s="2" t="str">
        <x:v>Company-Calibrated Synthetic Dataset for Academic Analysis — illustrative figures, calibrated to Matco Foods Limited's disclosed scale, not actual company records.</x:v>
      </x:c>
    </x:row>
    <x:row r="139" ht="22" customHeight="1">
      <x:c r="A139" s="10" t="d">
        <x:v>2026-04-20T00:00:00.000Z</x:v>
      </x:c>
      <x:c r="B139" s="2" t="str">
        <x:v>Falak Extreme Basmati Rice 5 kg</x:v>
      </x:c>
      <x:c r="C139" s="2" t="str">
        <x:v>Pakistan domestic retail</x:v>
      </x:c>
      <x:c r="D139" s="11" t="n">
        <x:v>5228</x:v>
      </x:c>
      <x:c r="E139" s="11" t="n">
        <x:v>5408</x:v>
      </x:c>
      <x:c r="F139" s="11" t="n">
        <x:v>2800</x:v>
      </x:c>
      <x:c r="G139" s="11" t="n">
        <x:v>0</x:v>
      </x:c>
      <x:c r="H139" s="12" t="n">
        <x:v>0</x:v>
      </x:c>
      <x:c r="I139" s="11" t="n">
        <x:v>0</x:v>
      </x:c>
      <x:c r="J139" s="11" t="str"/>
      <x:c r="K139" s="11" t="n">
        <x:v>1095</x:v>
      </x:c>
      <x:c r="L139" s="11" t="n">
        <x:v>0</x:v>
      </x:c>
      <x:c r="M139" s="2" t="str"/>
      <x:c r="N139" s="2" t="str">
        <x:v>Train</x:v>
      </x:c>
      <x:c r="O139" s="2" t="str">
        <x:v>Company-Calibrated Synthetic Dataset for Academic Analysis — illustrative figures, calibrated to Matco Foods Limited's disclosed scale, not actual company records.</x:v>
      </x:c>
    </x:row>
    <x:row r="140" ht="22" customHeight="1">
      <x:c r="A140" s="10" t="d">
        <x:v>2026-04-27T00:00:00.000Z</x:v>
      </x:c>
      <x:c r="B140" s="2" t="str">
        <x:v>Falak Extreme Basmati Rice 5 kg</x:v>
      </x:c>
      <x:c r="C140" s="2" t="str">
        <x:v>Pakistan domestic retail</x:v>
      </x:c>
      <x:c r="D140" s="11" t="n">
        <x:v>5145</x:v>
      </x:c>
      <x:c r="E140" s="11" t="n">
        <x:v>5448</x:v>
      </x:c>
      <x:c r="F140" s="11" t="n">
        <x:v>2800</x:v>
      </x:c>
      <x:c r="G140" s="11" t="n">
        <x:v>0</x:v>
      </x:c>
      <x:c r="H140" s="12" t="n">
        <x:v>0</x:v>
      </x:c>
      <x:c r="I140" s="11" t="n">
        <x:v>0</x:v>
      </x:c>
      <x:c r="J140" s="11" t="str"/>
      <x:c r="K140" s="11" t="n">
        <x:v>1097</x:v>
      </x:c>
      <x:c r="L140" s="11" t="n">
        <x:v>0</x:v>
      </x:c>
      <x:c r="M140" s="2" t="str"/>
      <x:c r="N140" s="2" t="str">
        <x:v>Train</x:v>
      </x:c>
      <x:c r="O140" s="2" t="str">
        <x:v>Company-Calibrated Synthetic Dataset for Academic Analysis — illustrative figures, calibrated to Matco Foods Limited's disclosed scale, not actual company records.</x:v>
      </x:c>
    </x:row>
    <x:row r="141" ht="22" customHeight="1">
      <x:c r="A141" s="10" t="d">
        <x:v>2026-05-04T00:00:00.000Z</x:v>
      </x:c>
      <x:c r="B141" s="2" t="str">
        <x:v>Falak Extreme Basmati Rice 5 kg</x:v>
      </x:c>
      <x:c r="C141" s="2" t="str">
        <x:v>Pakistan domestic retail</x:v>
      </x:c>
      <x:c r="D141" s="11" t="n">
        <x:v>7313</x:v>
      </x:c>
      <x:c r="E141" s="11" t="n">
        <x:v>5889</x:v>
      </x:c>
      <x:c r="F141" s="11" t="n">
        <x:v>2800</x:v>
      </x:c>
      <x:c r="G141" s="11" t="n">
        <x:v>1</x:v>
      </x:c>
      <x:c r="H141" s="12" t="n">
        <x:v>0.08</x:v>
      </x:c>
      <x:c r="I141" s="11" t="n">
        <x:v>0</x:v>
      </x:c>
      <x:c r="J141" s="11" t="str"/>
      <x:c r="K141" s="11" t="n">
        <x:v>1102</x:v>
      </x:c>
      <x:c r="L141" s="11" t="n">
        <x:v>0</x:v>
      </x:c>
      <x:c r="M141" s="2" t="str"/>
      <x:c r="N141" s="2" t="str">
        <x:v>Train</x:v>
      </x:c>
      <x:c r="O141" s="2" t="str">
        <x:v>Company-Calibrated Synthetic Dataset for Academic Analysis — illustrative figures, calibrated to Matco Foods Limited's disclosed scale, not actual company records.</x:v>
      </x:c>
    </x:row>
    <x:row r="142" ht="22" customHeight="1">
      <x:c r="A142" s="10" t="d">
        <x:v>2026-05-11T00:00:00.000Z</x:v>
      </x:c>
      <x:c r="B142" s="2" t="str">
        <x:v>Falak Extreme Basmati Rice 5 kg</x:v>
      </x:c>
      <x:c r="C142" s="2" t="str">
        <x:v>Pakistan domestic retail</x:v>
      </x:c>
      <x:c r="D142" s="11" t="n">
        <x:v>5880</x:v>
      </x:c>
      <x:c r="E142" s="11" t="n">
        <x:v>5472</x:v>
      </x:c>
      <x:c r="F142" s="11" t="n">
        <x:v>2800</x:v>
      </x:c>
      <x:c r="G142" s="11" t="n">
        <x:v>0</x:v>
      </x:c>
      <x:c r="H142" s="12" t="n">
        <x:v>0</x:v>
      </x:c>
      <x:c r="I142" s="11" t="n">
        <x:v>0</x:v>
      </x:c>
      <x:c r="J142" s="11" t="str"/>
      <x:c r="K142" s="11" t="n">
        <x:v>1095</x:v>
      </x:c>
      <x:c r="L142" s="11" t="n">
        <x:v>0</x:v>
      </x:c>
      <x:c r="M142" s="2" t="str"/>
      <x:c r="N142" s="2" t="str">
        <x:v>Train</x:v>
      </x:c>
      <x:c r="O142" s="2" t="str">
        <x:v>Company-Calibrated Synthetic Dataset for Academic Analysis — illustrative figures, calibrated to Matco Foods Limited's disclosed scale, not actual company records.</x:v>
      </x:c>
    </x:row>
    <x:row r="143" ht="22" customHeight="1">
      <x:c r="A143" s="10" t="d">
        <x:v>2026-05-18T00:00:00.000Z</x:v>
      </x:c>
      <x:c r="B143" s="2" t="str">
        <x:v>Falak Extreme Basmati Rice 5 kg</x:v>
      </x:c>
      <x:c r="C143" s="2" t="str">
        <x:v>Pakistan domestic retail</x:v>
      </x:c>
      <x:c r="D143" s="11" t="n">
        <x:v>6012</x:v>
      </x:c>
      <x:c r="E143" s="11" t="n">
        <x:v>5974</x:v>
      </x:c>
      <x:c r="F143" s="11" t="n">
        <x:v>2800</x:v>
      </x:c>
      <x:c r="G143" s="11" t="n">
        <x:v>0</x:v>
      </x:c>
      <x:c r="H143" s="12" t="n">
        <x:v>0</x:v>
      </x:c>
      <x:c r="I143" s="11" t="n">
        <x:v>1</x:v>
      </x:c>
      <x:c r="J143" s="11" t="str">
        <x:v>Eid-ul-Adha</x:v>
      </x:c>
      <x:c r="K143" s="11" t="n">
        <x:v>1110</x:v>
      </x:c>
      <x:c r="L143" s="11" t="n">
        <x:v>0</x:v>
      </x:c>
      <x:c r="M143" s="2" t="str"/>
      <x:c r="N143" s="2" t="str">
        <x:v>Train</x:v>
      </x:c>
      <x:c r="O143" s="2" t="str">
        <x:v>Company-Calibrated Synthetic Dataset for Academic Analysis — illustrative figures, calibrated to Matco Foods Limited's disclosed scale, not actual company records.</x:v>
      </x:c>
    </x:row>
    <x:row r="144" ht="22" customHeight="1">
      <x:c r="A144" s="10" t="d">
        <x:v>2026-05-25T00:00:00.000Z</x:v>
      </x:c>
      <x:c r="B144" s="2" t="str">
        <x:v>Falak Extreme Basmati Rice 5 kg</x:v>
      </x:c>
      <x:c r="C144" s="2" t="str">
        <x:v>Pakistan domestic retail</x:v>
      </x:c>
      <x:c r="D144" s="11" t="n">
        <x:v>6199</x:v>
      </x:c>
      <x:c r="E144" s="11" t="n">
        <x:v>6048</x:v>
      </x:c>
      <x:c r="F144" s="11" t="n">
        <x:v>2800</x:v>
      </x:c>
      <x:c r="G144" s="11" t="n">
        <x:v>0</x:v>
      </x:c>
      <x:c r="H144" s="12" t="n">
        <x:v>0</x:v>
      </x:c>
      <x:c r="I144" s="11" t="n">
        <x:v>1</x:v>
      </x:c>
      <x:c r="J144" s="11" t="str">
        <x:v>Eid-ul-Adha</x:v>
      </x:c>
      <x:c r="K144" s="11" t="n">
        <x:v>1120</x:v>
      </x:c>
      <x:c r="L144" s="11" t="n">
        <x:v>0</x:v>
      </x:c>
      <x:c r="M144" s="2" t="str"/>
      <x:c r="N144" s="2" t="str">
        <x:v>Train</x:v>
      </x:c>
      <x:c r="O144" s="2" t="str">
        <x:v>Company-Calibrated Synthetic Dataset for Academic Analysis — illustrative figures, calibrated to Matco Foods Limited's disclosed scale, not actual company records.</x:v>
      </x:c>
    </x:row>
    <x:row r="145" ht="22" customHeight="1">
      <x:c r="A145" s="10" t="d">
        <x:v>2026-06-01T00:00:00.000Z</x:v>
      </x:c>
      <x:c r="B145" s="2" t="str">
        <x:v>Falak Extreme Basmati Rice 5 kg</x:v>
      </x:c>
      <x:c r="C145" s="2" t="str">
        <x:v>Pakistan domestic retail</x:v>
      </x:c>
      <x:c r="D145" s="11" t="n">
        <x:v>6877</x:v>
      </x:c>
      <x:c r="E145" s="11" t="n">
        <x:v>5983</x:v>
      </x:c>
      <x:c r="F145" s="11" t="n">
        <x:v>2800</x:v>
      </x:c>
      <x:c r="G145" s="11" t="n">
        <x:v>1</x:v>
      </x:c>
      <x:c r="H145" s="12" t="n">
        <x:v>0.1</x:v>
      </x:c>
      <x:c r="I145" s="11" t="n">
        <x:v>0</x:v>
      </x:c>
      <x:c r="J145" s="11" t="str"/>
      <x:c r="K145" s="11" t="n">
        <x:v>1127</x:v>
      </x:c>
      <x:c r="L145" s="11" t="n">
        <x:v>0</x:v>
      </x:c>
      <x:c r="M145" s="2" t="str"/>
      <x:c r="N145" s="2" t="str">
        <x:v>Train</x:v>
      </x:c>
      <x:c r="O145" s="2" t="str">
        <x:v>Company-Calibrated Synthetic Dataset for Academic Analysis — illustrative figures, calibrated to Matco Foods Limited's disclosed scale, not actual company records.</x:v>
      </x:c>
    </x:row>
    <x:row r="146" ht="22" customHeight="1">
      <x:c r="A146" s="10" t="d">
        <x:v>2026-06-08T00:00:00.000Z</x:v>
      </x:c>
      <x:c r="B146" s="2" t="str">
        <x:v>Falak Extreme Basmati Rice 5 kg</x:v>
      </x:c>
      <x:c r="C146" s="2" t="str">
        <x:v>Pakistan domestic retail</x:v>
      </x:c>
      <x:c r="D146" s="11" t="n">
        <x:v>5447</x:v>
      </x:c>
      <x:c r="E146" s="11" t="n">
        <x:v>5567</x:v>
      </x:c>
      <x:c r="F146" s="11" t="n">
        <x:v>2865</x:v>
      </x:c>
      <x:c r="G146" s="11" t="n">
        <x:v>0</x:v>
      </x:c>
      <x:c r="H146" s="12" t="n">
        <x:v>0</x:v>
      </x:c>
      <x:c r="I146" s="11" t="n">
        <x:v>0</x:v>
      </x:c>
      <x:c r="J146" s="11" t="str"/>
      <x:c r="K146" s="11" t="n">
        <x:v>1131</x:v>
      </x:c>
      <x:c r="L146" s="11" t="n">
        <x:v>0</x:v>
      </x:c>
      <x:c r="M146" s="2" t="str"/>
      <x:c r="N146" s="2" t="str">
        <x:v>Train</x:v>
      </x:c>
      <x:c r="O146" s="2" t="str">
        <x:v>Company-Calibrated Synthetic Dataset for Academic Analysis — illustrative figures, calibrated to Matco Foods Limited's disclosed scale, not actual company records.</x:v>
      </x:c>
    </x:row>
    <x:row r="147" ht="22" customHeight="1">
      <x:c r="A147" s="10" t="d">
        <x:v>2026-06-15T00:00:00.000Z</x:v>
      </x:c>
      <x:c r="B147" s="2" t="str">
        <x:v>Falak Extreme Basmati Rice 5 kg</x:v>
      </x:c>
      <x:c r="C147" s="2" t="str">
        <x:v>Pakistan domestic retail</x:v>
      </x:c>
      <x:c r="D147" s="11" t="n">
        <x:v>4877</x:v>
      </x:c>
      <x:c r="E147" s="11" t="n">
        <x:v>5540</x:v>
      </x:c>
      <x:c r="F147" s="11" t="n">
        <x:v>2865</x:v>
      </x:c>
      <x:c r="G147" s="11" t="n">
        <x:v>0</x:v>
      </x:c>
      <x:c r="H147" s="12" t="n">
        <x:v>0</x:v>
      </x:c>
      <x:c r="I147" s="11" t="n">
        <x:v>0</x:v>
      </x:c>
      <x:c r="J147" s="11" t="str"/>
      <x:c r="K147" s="11" t="n">
        <x:v>1148</x:v>
      </x:c>
      <x:c r="L147" s="11" t="n">
        <x:v>0</x:v>
      </x:c>
      <x:c r="M147" s="2" t="str"/>
      <x:c r="N147" s="2" t="str">
        <x:v>Train</x:v>
      </x:c>
      <x:c r="O147" s="2" t="str">
        <x:v>Company-Calibrated Synthetic Dataset for Academic Analysis — illustrative figures, calibrated to Matco Foods Limited's disclosed scale, not actual company records.</x:v>
      </x:c>
    </x:row>
    <x:row r="148" ht="22" customHeight="1">
      <x:c r="A148" s="10" t="d">
        <x:v>2026-06-22T00:00:00.000Z</x:v>
      </x:c>
      <x:c r="B148" s="2" t="str">
        <x:v>Falak Extreme Basmati Rice 5 kg</x:v>
      </x:c>
      <x:c r="C148" s="2" t="str">
        <x:v>Pakistan domestic retail</x:v>
      </x:c>
      <x:c r="D148" s="11" t="n">
        <x:v>5575</x:v>
      </x:c>
      <x:c r="E148" s="11" t="n">
        <x:v>5615</x:v>
      </x:c>
      <x:c r="F148" s="11" t="n">
        <x:v>2865</x:v>
      </x:c>
      <x:c r="G148" s="11" t="n">
        <x:v>0</x:v>
      </x:c>
      <x:c r="H148" s="12" t="n">
        <x:v>0</x:v>
      </x:c>
      <x:c r="I148" s="11" t="n">
        <x:v>0</x:v>
      </x:c>
      <x:c r="J148" s="11" t="str"/>
      <x:c r="K148" s="11" t="n">
        <x:v>1146</x:v>
      </x:c>
      <x:c r="L148" s="11" t="n">
        <x:v>0</x:v>
      </x:c>
      <x:c r="M148" s="2" t="str"/>
      <x:c r="N148" s="2" t="str">
        <x:v>Train</x:v>
      </x:c>
      <x:c r="O148" s="2" t="str">
        <x:v>Company-Calibrated Synthetic Dataset for Academic Analysis — illustrative figures, calibrated to Matco Foods Limited's disclosed scale, not actual company records.</x:v>
      </x:c>
    </x:row>
    <x:row r="149" ht="22" customHeight="1">
      <x:c r="A149" s="10" t="d">
        <x:v>2026-06-29T00:00:00.000Z</x:v>
      </x:c>
      <x:c r="B149" s="2" t="str">
        <x:v>Falak Extreme Basmati Rice 5 kg</x:v>
      </x:c>
      <x:c r="C149" s="2" t="str">
        <x:v>Pakistan domestic retail</x:v>
      </x:c>
      <x:c r="D149" s="11" t="n">
        <x:v>5856</x:v>
      </x:c>
      <x:c r="E149" s="11" t="n">
        <x:v>5598</x:v>
      </x:c>
      <x:c r="F149" s="11" t="n">
        <x:v>2865</x:v>
      </x:c>
      <x:c r="G149" s="11" t="n">
        <x:v>0</x:v>
      </x:c>
      <x:c r="H149" s="12" t="n">
        <x:v>0</x:v>
      </x:c>
      <x:c r="I149" s="11" t="n">
        <x:v>0</x:v>
      </x:c>
      <x:c r="J149" s="11" t="str"/>
      <x:c r="K149" s="11" t="n">
        <x:v>1159</x:v>
      </x:c>
      <x:c r="L149" s="11" t="n">
        <x:v>0</x:v>
      </x:c>
      <x:c r="M149" s="2" t="str"/>
      <x:c r="N149" s="2" t="str">
        <x:v>Train</x:v>
      </x:c>
      <x:c r="O149" s="2" t="str">
        <x:v>Company-Calibrated Synthetic Dataset for Academic Analysis — illustrative figures, calibrated to Matco Foods Limited's disclosed scale, not actual company records.</x:v>
      </x:c>
    </x:row>
    <x:row r="150" ht="22" customHeight="1">
      <x:c r="A150" s="10" t="d">
        <x:v>2026-07-06T00:00:00.000Z</x:v>
      </x:c>
      <x:c r="B150" s="2" t="str">
        <x:v>Falak Extreme Basmati Rice 5 kg</x:v>
      </x:c>
      <x:c r="C150" s="2" t="str">
        <x:v>Pakistan domestic retail</x:v>
      </x:c>
      <x:c r="D150" s="11" t="n">
        <x:v>5229</x:v>
      </x:c>
      <x:c r="E150" s="11" t="n">
        <x:v>5653</x:v>
      </x:c>
      <x:c r="F150" s="11" t="n">
        <x:v>2865</x:v>
      </x:c>
      <x:c r="G150" s="11" t="n">
        <x:v>0</x:v>
      </x:c>
      <x:c r="H150" s="12" t="n">
        <x:v>0</x:v>
      </x:c>
      <x:c r="I150" s="11" t="n">
        <x:v>0</x:v>
      </x:c>
      <x:c r="J150" s="11" t="str"/>
      <x:c r="K150" s="11" t="n">
        <x:v>1153</x:v>
      </x:c>
      <x:c r="L150" s="11" t="n">
        <x:v>0</x:v>
      </x:c>
      <x:c r="M150" s="2" t="str"/>
      <x:c r="N150" s="3" t="str">
        <x:v>Holdout</x:v>
      </x:c>
      <x:c r="O150" s="2" t="str">
        <x:v>Company-Calibrated Synthetic Dataset for Academic Analysis — illustrative figures, calibrated to Matco Foods Limited's disclosed scale, not actual company records.</x:v>
      </x:c>
    </x:row>
    <x:row r="151" ht="22" customHeight="1">
      <x:c r="A151" s="10" t="d">
        <x:v>2026-07-13T00:00:00.000Z</x:v>
      </x:c>
      <x:c r="B151" s="2" t="str">
        <x:v>Falak Extreme Basmati Rice 5 kg</x:v>
      </x:c>
      <x:c r="C151" s="2" t="str">
        <x:v>Pakistan domestic retail</x:v>
      </x:c>
      <x:c r="D151" s="11" t="n">
        <x:v>6997</x:v>
      </x:c>
      <x:c r="E151" s="11" t="n">
        <x:v>6066</x:v>
      </x:c>
      <x:c r="F151" s="11" t="n">
        <x:v>2865</x:v>
      </x:c>
      <x:c r="G151" s="11" t="n">
        <x:v>1</x:v>
      </x:c>
      <x:c r="H151" s="12" t="n">
        <x:v>0.05</x:v>
      </x:c>
      <x:c r="I151" s="11" t="n">
        <x:v>0</x:v>
      </x:c>
      <x:c r="J151" s="11" t="str"/>
      <x:c r="K151" s="11" t="n">
        <x:v>1168</x:v>
      </x:c>
      <x:c r="L151" s="11" t="n">
        <x:v>0</x:v>
      </x:c>
      <x:c r="M151" s="2" t="str"/>
      <x:c r="N151" s="3" t="str">
        <x:v>Holdout</x:v>
      </x:c>
      <x:c r="O151" s="2" t="str">
        <x:v>Company-Calibrated Synthetic Dataset for Academic Analysis — illustrative figures, calibrated to Matco Foods Limited's disclosed scale, not actual company records.</x:v>
      </x:c>
    </x:row>
    <x:row r="152" ht="22" customHeight="1">
      <x:c r="A152" s="10" t="d">
        <x:v>2026-07-20T00:00:00.000Z</x:v>
      </x:c>
      <x:c r="B152" s="2" t="str">
        <x:v>Falak Extreme Basmati Rice 5 kg</x:v>
      </x:c>
      <x:c r="C152" s="2" t="str">
        <x:v>Pakistan domestic retail</x:v>
      </x:c>
      <x:c r="D152" s="11" t="n">
        <x:v>5349</x:v>
      </x:c>
      <x:c r="E152" s="11" t="n">
        <x:v>5682</x:v>
      </x:c>
      <x:c r="F152" s="11" t="n">
        <x:v>2865</x:v>
      </x:c>
      <x:c r="G152" s="11" t="n">
        <x:v>0</x:v>
      </x:c>
      <x:c r="H152" s="12" t="n">
        <x:v>0</x:v>
      </x:c>
      <x:c r="I152" s="11" t="n">
        <x:v>0</x:v>
      </x:c>
      <x:c r="J152" s="11" t="str"/>
      <x:c r="K152" s="11" t="n">
        <x:v>1163</x:v>
      </x:c>
      <x:c r="L152" s="11" t="n">
        <x:v>0</x:v>
      </x:c>
      <x:c r="M152" s="2" t="str"/>
      <x:c r="N152" s="3" t="str">
        <x:v>Holdout</x:v>
      </x:c>
      <x:c r="O152" s="2" t="str">
        <x:v>Company-Calibrated Synthetic Dataset for Academic Analysis — illustrative figures, calibrated to Matco Foods Limited's disclosed scale, not actual company records.</x:v>
      </x:c>
    </x:row>
    <x:row r="153" ht="22" customHeight="1">
      <x:c r="A153" s="10" t="d">
        <x:v>2026-07-27T00:00:00.000Z</x:v>
      </x:c>
      <x:c r="B153" s="2" t="str">
        <x:v>Falak Extreme Basmati Rice 5 kg</x:v>
      </x:c>
      <x:c r="C153" s="2" t="str">
        <x:v>Pakistan domestic retail</x:v>
      </x:c>
      <x:c r="D153" s="11" t="n">
        <x:v>5430</x:v>
      </x:c>
      <x:c r="E153" s="11" t="n">
        <x:v>5651</x:v>
      </x:c>
      <x:c r="F153" s="11" t="n">
        <x:v>2865</x:v>
      </x:c>
      <x:c r="G153" s="11" t="n">
        <x:v>0</x:v>
      </x:c>
      <x:c r="H153" s="12" t="n">
        <x:v>0</x:v>
      </x:c>
      <x:c r="I153" s="11" t="n">
        <x:v>0</x:v>
      </x:c>
      <x:c r="J153" s="11" t="str"/>
      <x:c r="K153" s="11" t="n">
        <x:v>1164</x:v>
      </x:c>
      <x:c r="L153" s="11" t="n">
        <x:v>0</x:v>
      </x:c>
      <x:c r="M153" s="2" t="str"/>
      <x:c r="N153" s="3" t="str">
        <x:v>Holdout</x:v>
      </x:c>
      <x:c r="O153" s="2" t="str">
        <x:v>Company-Calibrated Synthetic Dataset for Academic Analysis — illustrative figures, calibrated to Matco Foods Limited's disclosed scale, not actual company records.</x:v>
      </x:c>
    </x:row>
    <x:row r="154" ht="22" customHeight="1">
      <x:c r="A154" s="10" t="d">
        <x:v>2026-08-03T00:00:00.000Z</x:v>
      </x:c>
      <x:c r="B154" s="2" t="str">
        <x:v>Falak Extreme Basmati Rice 5 kg</x:v>
      </x:c>
      <x:c r="C154" s="2" t="str">
        <x:v>Pakistan domestic retail</x:v>
      </x:c>
      <x:c r="D154" s="11" t="n">
        <x:v>6448</x:v>
      </x:c>
      <x:c r="E154" s="11" t="n">
        <x:v>6102</x:v>
      </x:c>
      <x:c r="F154" s="11" t="n">
        <x:v>2865</x:v>
      </x:c>
      <x:c r="G154" s="11" t="n">
        <x:v>1</x:v>
      </x:c>
      <x:c r="H154" s="12" t="n">
        <x:v>0.08</x:v>
      </x:c>
      <x:c r="I154" s="11" t="n">
        <x:v>0</x:v>
      </x:c>
      <x:c r="J154" s="11" t="str"/>
      <x:c r="K154" s="11" t="n">
        <x:v>1137</x:v>
      </x:c>
      <x:c r="L154" s="11" t="n">
        <x:v>0</x:v>
      </x:c>
      <x:c r="M154" s="2" t="str"/>
      <x:c r="N154" s="3" t="str">
        <x:v>Holdout</x:v>
      </x:c>
      <x:c r="O154" s="2" t="str">
        <x:v>Company-Calibrated Synthetic Dataset for Academic Analysis — illustrative figures, calibrated to Matco Foods Limited's disclosed scale, not actual company records.</x:v>
      </x:c>
    </x:row>
    <x:row r="155" ht="22" customHeight="1">
      <x:c r="A155" s="10" t="d">
        <x:v>2026-08-10T00:00:00.000Z</x:v>
      </x:c>
      <x:c r="B155" s="2" t="str">
        <x:v>Falak Extreme Basmati Rice 5 kg</x:v>
      </x:c>
      <x:c r="C155" s="2" t="str">
        <x:v>Pakistan domestic retail</x:v>
      </x:c>
      <x:c r="D155" s="11" t="n">
        <x:v>4787</x:v>
      </x:c>
      <x:c r="E155" s="11" t="n">
        <x:v>5513</x:v>
      </x:c>
      <x:c r="F155" s="11" t="n">
        <x:v>2865</x:v>
      </x:c>
      <x:c r="G155" s="11" t="n">
        <x:v>0</x:v>
      </x:c>
      <x:c r="H155" s="12" t="n">
        <x:v>0</x:v>
      </x:c>
      <x:c r="I155" s="11" t="n">
        <x:v>0</x:v>
      </x:c>
      <x:c r="J155" s="11" t="str"/>
      <x:c r="K155" s="11" t="n">
        <x:v>1136</x:v>
      </x:c>
      <x:c r="L155" s="11" t="n">
        <x:v>0</x:v>
      </x:c>
      <x:c r="M155" s="2" t="str"/>
      <x:c r="N155" s="3" t="str">
        <x:v>Holdout</x:v>
      </x:c>
      <x:c r="O155" s="2" t="str">
        <x:v>Company-Calibrated Synthetic Dataset for Academic Analysis — illustrative figures, calibrated to Matco Foods Limited's disclosed scale, not actual company records.</x:v>
      </x:c>
    </x:row>
    <x:row r="156" ht="22" customHeight="1">
      <x:c r="A156" s="10" t="d">
        <x:v>2026-08-17T00:00:00.000Z</x:v>
      </x:c>
      <x:c r="B156" s="2" t="str">
        <x:v>Falak Extreme Basmati Rice 5 kg</x:v>
      </x:c>
      <x:c r="C156" s="2" t="str">
        <x:v>Pakistan domestic retail</x:v>
      </x:c>
      <x:c r="D156" s="11" t="n">
        <x:v>5294</x:v>
      </x:c>
      <x:c r="E156" s="11" t="n">
        <x:v>5504</x:v>
      </x:c>
      <x:c r="F156" s="11" t="n">
        <x:v>2865</x:v>
      </x:c>
      <x:c r="G156" s="11" t="n">
        <x:v>0</x:v>
      </x:c>
      <x:c r="H156" s="12" t="n">
        <x:v>0</x:v>
      </x:c>
      <x:c r="I156" s="11" t="n">
        <x:v>0</x:v>
      </x:c>
      <x:c r="J156" s="11" t="str"/>
      <x:c r="K156" s="11" t="n">
        <x:v>1136</x:v>
      </x:c>
      <x:c r="L156" s="11" t="n">
        <x:v>0</x:v>
      </x:c>
      <x:c r="M156" s="2" t="str"/>
      <x:c r="N156" s="3" t="str">
        <x:v>Holdout</x:v>
      </x:c>
      <x:c r="O156" s="2" t="str">
        <x:v>Company-Calibrated Synthetic Dataset for Academic Analysis — illustrative figures, calibrated to Matco Foods Limited's disclosed scale, not actual company records.</x:v>
      </x:c>
    </x:row>
    <x:row r="157" ht="22" customHeight="1">
      <x:c r="A157" s="10" t="d">
        <x:v>2026-08-24T00:00:00.000Z</x:v>
      </x:c>
      <x:c r="B157" s="2" t="str">
        <x:v>Falak Extreme Basmati Rice 5 kg</x:v>
      </x:c>
      <x:c r="C157" s="2" t="str">
        <x:v>Pakistan domestic retail</x:v>
      </x:c>
      <x:c r="D157" s="11" t="n">
        <x:v>4083</x:v>
      </x:c>
      <x:c r="E157" s="11" t="n">
        <x:v>5500</x:v>
      </x:c>
      <x:c r="F157" s="11" t="n">
        <x:v>2865</x:v>
      </x:c>
      <x:c r="G157" s="11" t="n">
        <x:v>0</x:v>
      </x:c>
      <x:c r="H157" s="12" t="n">
        <x:v>0</x:v>
      </x:c>
      <x:c r="I157" s="11" t="n">
        <x:v>0</x:v>
      </x:c>
      <x:c r="J157" s="11" t="str"/>
      <x:c r="K157" s="11" t="n">
        <x:v>1134</x:v>
      </x:c>
      <x:c r="L157" s="11" t="n">
        <x:v>1</x:v>
      </x:c>
      <x:c r="M157" s="2" t="str">
        <x:v>Illustrative transport disruption</x:v>
      </x:c>
      <x:c r="N157" s="3" t="str">
        <x:v>Holdout</x:v>
      </x:c>
      <x:c r="O157" s="2" t="str">
        <x:v>Company-Calibrated Synthetic Dataset for Academic Analysis — illustrative figures, calibrated to Matco Foods Limited's disclosed scale, not actual company records.</x:v>
      </x:c>
    </x:row>
    <x:row r="158" ht="22" customHeight="1">
      <x:c r="A158" s="10" t="d">
        <x:v>2026-08-31T00:00:00.000Z</x:v>
      </x:c>
      <x:c r="B158" s="2" t="str">
        <x:v>Falak Extreme Basmati Rice 5 kg</x:v>
      </x:c>
      <x:c r="C158" s="2" t="str">
        <x:v>Pakistan domestic retail</x:v>
      </x:c>
      <x:c r="D158" s="11" t="n">
        <x:v>5597</x:v>
      </x:c>
      <x:c r="E158" s="11" t="n">
        <x:v>5927</x:v>
      </x:c>
      <x:c r="F158" s="11" t="n">
        <x:v>2865</x:v>
      </x:c>
      <x:c r="G158" s="11" t="n">
        <x:v>1</x:v>
      </x:c>
      <x:c r="H158" s="12" t="n">
        <x:v>0.08</x:v>
      </x:c>
      <x:c r="I158" s="11" t="n">
        <x:v>0</x:v>
      </x:c>
      <x:c r="J158" s="11" t="str"/>
      <x:c r="K158" s="11" t="n">
        <x:v>1128</x:v>
      </x:c>
      <x:c r="L158" s="11" t="n">
        <x:v>1</x:v>
      </x:c>
      <x:c r="M158" s="2" t="str">
        <x:v>Illustrative transport disruption</x:v>
      </x:c>
      <x:c r="N158" s="3" t="str">
        <x:v>Holdout</x:v>
      </x:c>
      <x:c r="O158" s="2" t="str">
        <x:v>Company-Calibrated Synthetic Dataset for Academic Analysis — illustrative figures, calibrated to Matco Foods Limited's disclosed scale, not actual company records.</x:v>
      </x:c>
    </x:row>
    <x:row r="159" ht="22" customHeight="1">
      <x:c r="A159" s="10" t="d">
        <x:v>2026-09-07T00:00:00.000Z</x:v>
      </x:c>
      <x:c r="B159" s="2" t="str">
        <x:v>Falak Extreme Basmati Rice 5 kg</x:v>
      </x:c>
      <x:c r="C159" s="2" t="str">
        <x:v>Pakistan domestic retail</x:v>
      </x:c>
      <x:c r="D159" s="11" t="n">
        <x:v>4766</x:v>
      </x:c>
      <x:c r="E159" s="11" t="n">
        <x:v>5457</x:v>
      </x:c>
      <x:c r="F159" s="11" t="n">
        <x:v>2865</x:v>
      </x:c>
      <x:c r="G159" s="11" t="n">
        <x:v>0</x:v>
      </x:c>
      <x:c r="H159" s="12" t="n">
        <x:v>0</x:v>
      </x:c>
      <x:c r="I159" s="11" t="n">
        <x:v>0</x:v>
      </x:c>
      <x:c r="J159" s="11" t="str"/>
      <x:c r="K159" s="11" t="n">
        <x:v>1094</x:v>
      </x:c>
      <x:c r="L159" s="11" t="n">
        <x:v>0</x:v>
      </x:c>
      <x:c r="M159" s="2" t="str"/>
      <x:c r="N159" s="3" t="str">
        <x:v>Holdout</x:v>
      </x:c>
      <x:c r="O159" s="2" t="str">
        <x:v>Company-Calibrated Synthetic Dataset for Academic Analysis — illustrative figures, calibrated to Matco Foods Limited's disclosed scale, not actual company records.</x:v>
      </x:c>
    </x:row>
    <x:row r="160" ht="22" customHeight="1">
      <x:c r="A160" s="10" t="d">
        <x:v>2026-09-14T00:00:00.000Z</x:v>
      </x:c>
      <x:c r="B160" s="2" t="str">
        <x:v>Falak Extreme Basmati Rice 5 kg</x:v>
      </x:c>
      <x:c r="C160" s="2" t="str">
        <x:v>Pakistan domestic retail</x:v>
      </x:c>
      <x:c r="D160" s="11" t="n">
        <x:v>5375</x:v>
      </x:c>
      <x:c r="E160" s="11" t="n">
        <x:v>5292</x:v>
      </x:c>
      <x:c r="F160" s="11" t="n">
        <x:v>2865</x:v>
      </x:c>
      <x:c r="G160" s="11" t="n">
        <x:v>0</x:v>
      </x:c>
      <x:c r="H160" s="12" t="n">
        <x:v>0</x:v>
      </x:c>
      <x:c r="I160" s="11" t="n">
        <x:v>0</x:v>
      </x:c>
      <x:c r="J160" s="11" t="str"/>
      <x:c r="K160" s="11" t="n">
        <x:v>1107</x:v>
      </x:c>
      <x:c r="L160" s="11" t="n">
        <x:v>0</x:v>
      </x:c>
      <x:c r="M160" s="2" t="str"/>
      <x:c r="N160" s="3" t="str">
        <x:v>Holdout</x:v>
      </x:c>
      <x:c r="O160" s="2" t="str">
        <x:v>Company-Calibrated Synthetic Dataset for Academic Analysis — illustrative figures, calibrated to Matco Foods Limited's disclosed scale, not actual company records.</x:v>
      </x:c>
    </x:row>
    <x:row r="161" ht="22" customHeight="1">
      <x:c r="A161" s="10" t="d">
        <x:v>2026-09-21T00:00:00.000Z</x:v>
      </x:c>
      <x:c r="B161" s="2" t="str">
        <x:v>Falak Extreme Basmati Rice 5 kg</x:v>
      </x:c>
      <x:c r="C161" s="2" t="str">
        <x:v>Pakistan domestic retail</x:v>
      </x:c>
      <x:c r="D161" s="11" t="n">
        <x:v>5421</x:v>
      </x:c>
      <x:c r="E161" s="11" t="n">
        <x:v>5355</x:v>
      </x:c>
      <x:c r="F161" s="11" t="n">
        <x:v>2865</x:v>
      </x:c>
      <x:c r="G161" s="11" t="n">
        <x:v>0</x:v>
      </x:c>
      <x:c r="H161" s="12" t="n">
        <x:v>0</x:v>
      </x:c>
      <x:c r="I161" s="11" t="n">
        <x:v>0</x:v>
      </x:c>
      <x:c r="J161" s="11" t="str"/>
      <x:c r="K161" s="11" t="n">
        <x:v>1106</x:v>
      </x:c>
      <x:c r="L161" s="11" t="n">
        <x:v>0</x:v>
      </x:c>
      <x:c r="M161" s="2" t="str"/>
      <x:c r="N161" s="3" t="str">
        <x:v>Holdout</x:v>
      </x:c>
      <x:c r="O161" s="2" t="str">
        <x:v>Company-Calibrated Synthetic Dataset for Academic Analysis — illustrative figures, calibrated to Matco Foods Limited's disclosed scale, not actual company records.</x:v>
      </x:c>
    </x:row>
  </x:sheetData>
  <x:mergeCells>
    <x:mergeCell ref="A1:I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6" hidden="0" customWidth="1"/>
    <x:col min="2" max="2" width="65" hidden="0" customWidth="1"/>
    <x:col min="3" max="3" width="27" hidden="0" customWidth="1"/>
    <x:col min="4" max="4" width="30" hidden="0" customWidth="1"/>
    <x:col min="5" max="5" width="52" hidden="0" customWidth="1"/>
    <x:col min="6" max="6" width="24" hidden="0" customWidth="1"/>
  </x:cols>
  <x:sheetData>
    <x:row r="1" ht="22" customHeight="1">
      <x:c r="A1" s="5" t="str">
        <x:v>Company-Calibrated Synthetic Dataset for Academic Analysis — illustrative figures, calibrated to Matco Foods Limited's disclosed scale, not actual company records.</x:v>
      </x:c>
      <x:c r="B1" s="5"/>
      <x:c r="C1" s="5"/>
      <x:c r="D1" s="5"/>
      <x:c r="E1" s="5"/>
      <x:c r="F1" s="5"/>
      <x:c r="G1" s="5"/>
      <x:c r="H1" s="5"/>
      <x:c r="I1" s="5"/>
    </x:row>
    <x:row r="2" ht="22" customHeight="1">
      <x:c r="A2" s="5"/>
      <x:c r="B2" s="5"/>
      <x:c r="C2" s="5"/>
      <x:c r="D2" s="5"/>
      <x:c r="E2" s="5"/>
      <x:c r="F2" s="5"/>
      <x:c r="G2" s="5"/>
      <x:c r="H2" s="5"/>
      <x:c r="I2" s="5"/>
    </x:row>
    <x:row r="3" ht="22" customHeight="1">
      <x:c r="A3" s="2"/>
      <x:c r="B3" s="2"/>
      <x:c r="C3" s="2"/>
      <x:c r="D3" s="2"/>
      <x:c r="E3" s="2"/>
      <x:c r="F3" s="2"/>
      <x:c r="G3" s="2"/>
      <x:c r="H3" s="2"/>
      <x:c r="I3" s="2"/>
    </x:row>
    <x:row r="4" ht="22" customHeight="1">
      <x:c r="A4" s="13" t="str">
        <x:v>Data dictionary</x:v>
      </x:c>
      <x:c r="B4" s="2"/>
      <x:c r="C4" s="2"/>
      <x:c r="D4" s="2"/>
      <x:c r="E4" s="2"/>
      <x:c r="F4" s="2"/>
      <x:c r="G4" s="2"/>
      <x:c r="H4" s="2"/>
      <x:c r="I4" s="2"/>
    </x:row>
    <x:row r="5" ht="22" customHeight="1">
      <x:c r="A5" s="2"/>
      <x:c r="B5" s="2"/>
      <x:c r="C5" s="2"/>
      <x:c r="D5" s="2"/>
      <x:c r="E5" s="2"/>
      <x:c r="F5" s="2"/>
      <x:c r="G5" s="2"/>
      <x:c r="H5" s="2"/>
      <x:c r="I5" s="2"/>
    </x:row>
    <x:row r="6" ht="32" customHeight="1">
      <x:c r="A6" s="9" t="str">
        <x:v>Field</x:v>
      </x:c>
      <x:c r="B6" s="9" t="str">
        <x:v>Definition</x:v>
      </x:c>
      <x:c r="C6" s="9" t="str">
        <x:v>Unit / type</x:v>
      </x:c>
      <x:c r="D6" s="9" t="str">
        <x:v>Real / assumed / synthetic</x:v>
      </x:c>
      <x:c r="E6" s="9" t="str">
        <x:v>Source logic / synthetic assumption</x:v>
      </x:c>
      <x:c r="F6" s="9" t="str">
        <x:v>Why included</x:v>
      </x:c>
      <x:c r="G6" s="2"/>
      <x:c r="H6" s="2"/>
      <x:c r="I6" s="2"/>
    </x:row>
    <x:row r="7" ht="40" customHeight="1">
      <x:c r="A7" s="2" t="str">
        <x:v>Week_Start_Date</x:v>
      </x:c>
      <x:c r="B7" s="14" t="str">
        <x:v>Monday starting each seven-day sales week</x:v>
      </x:c>
      <x:c r="C7" s="14" t="str">
        <x:v>Date</x:v>
      </x:c>
      <x:c r="D7" s="14" t="str">
        <x:v>Synthetic structure</x:v>
      </x:c>
      <x:c r="E7" s="14" t="str">
        <x:v>2023-10-02 to 2026-09-21, without gaps</x:v>
      </x:c>
      <x:c r="F7" s="14" t="str">
        <x:v>Chronological forecasting index</x:v>
      </x:c>
      <x:c r="G7" s="2"/>
      <x:c r="H7" s="2"/>
      <x:c r="I7" s="2"/>
    </x:row>
    <x:row r="8" ht="40" customHeight="1">
      <x:c r="A8" s="2" t="str">
        <x:v>Product_or_Category</x:v>
      </x:c>
      <x:c r="B8" s="14" t="str">
        <x:v>Selected variant and pack size</x:v>
      </x:c>
      <x:c r="C8" s="14" t="str">
        <x:v>Text</x:v>
      </x:c>
      <x:c r="D8" s="14" t="str">
        <x:v>Real product; selected scope</x:v>
      </x:c>
      <x:c r="E8" s="14" t="str">
        <x:v>Falak Extreme Basmati Rice 5 kg</x:v>
      </x:c>
      <x:c r="F8" s="14" t="str">
        <x:v>One consistent forecast object</x:v>
      </x:c>
      <x:c r="G8" s="2"/>
      <x:c r="H8" s="2"/>
      <x:c r="I8" s="2"/>
    </x:row>
    <x:row r="9" ht="40" customHeight="1">
      <x:c r="A9" s="2" t="str">
        <x:v>Market_Channel</x:v>
      </x:c>
      <x:c r="B9" s="14" t="str">
        <x:v>Aggregate market covered by the series</x:v>
      </x:c>
      <x:c r="C9" s="14" t="str">
        <x:v>Text</x:v>
      </x:c>
      <x:c r="D9" s="14" t="str">
        <x:v>Assumed scope</x:v>
      </x:c>
      <x:c r="E9" s="14" t="str">
        <x:v>Pakistan domestic retail; no exports or foodservice</x:v>
      </x:c>
      <x:c r="F9" s="14" t="str">
        <x:v>Avoid mixing demand populations</x:v>
      </x:c>
      <x:c r="G9" s="2"/>
      <x:c r="H9" s="2"/>
      <x:c r="I9" s="2"/>
    </x:row>
    <x:row r="10" ht="40" customHeight="1">
      <x:c r="A10" s="2" t="str">
        <x:v>Actual_Demand</x:v>
      </x:c>
      <x:c r="B10" s="14" t="str">
        <x:v>Recorded weekly retail sales after availability constraints</x:v>
      </x:c>
      <x:c r="C10" s="14" t="str">
        <x:v>5 kg packs/week</x:v>
      </x:c>
      <x:c r="D10" s="14" t="str">
        <x:v>Synthetic</x:v>
      </x:c>
      <x:c r="E10" s="14" t="str">
        <x:v>Simulated base, drivers, shocks and noise; not unconstrained demand</x:v>
      </x:c>
      <x:c r="F10" s="14" t="str">
        <x:v>Forecast target; diagnose stockout censorship</x:v>
      </x:c>
      <x:c r="G10" s="2"/>
      <x:c r="H10" s="2"/>
      <x:c r="I10" s="2"/>
    </x:row>
    <x:row r="11" ht="40" customHeight="1">
      <x:c r="A11" s="2" t="str">
        <x:v>Historical_Forecast</x:v>
      </x:c>
      <x:c r="B11" s="14" t="str">
        <x:v>Illustrative forecast issued before each sales week</x:v>
      </x:c>
      <x:c r="C11" s="14" t="str">
        <x:v>5 kg packs/week</x:v>
      </x:c>
      <x:c r="D11" s="14" t="str">
        <x:v>Synthetic</x:v>
      </x:c>
      <x:c r="E11" s="14" t="str">
        <x:v>Prior outlet/price inputs plus scheduled promo/calendar flags; no current or future sales used</x:v>
      </x:c>
      <x:c r="F11" s="14" t="str">
        <x:v>Historical error-metric practice; separate from holdout model forecasts</x:v>
      </x:c>
      <x:c r="G11" s="2"/>
      <x:c r="H11" s="2"/>
      <x:c r="I11" s="2"/>
    </x:row>
    <x:row r="12" ht="40" customHeight="1">
      <x:c r="A12" s="2" t="str">
        <x:v>Price</x:v>
      </x:c>
      <x:c r="B12" s="14" t="str">
        <x:v>Regular shelf price before the promotion discount</x:v>
      </x:c>
      <x:c r="C12" s="14" t="str">
        <x:v>PKR/5 kg pack</x:v>
      </x:c>
      <x:c r="D12" s="14" t="str">
        <x:v>Synthetic; anchored to observed price</x:v>
      </x:c>
      <x:c r="E12" s="14" t="str">
        <x:v>Eight multi-week price levels; current observed regular price PKR 2,865</x:v>
      </x:c>
      <x:c r="F12" s="14" t="str">
        <x:v>Price association, distinct from promotional mechanics</x:v>
      </x:c>
      <x:c r="G12" s="2"/>
      <x:c r="H12" s="2"/>
      <x:c r="I12" s="2"/>
    </x:row>
    <x:row r="13" ht="40" customHeight="1">
      <x:c r="A13" s="2" t="str">
        <x:v>Promo_Flag</x:v>
      </x:c>
      <x:c r="B13" s="14" t="str">
        <x:v>Promotion scheduled in the week</x:v>
      </x:c>
      <x:c r="C13" s="14" t="str">
        <x:v>0 or 1</x:v>
      </x:c>
      <x:c r="D13" s="14" t="str">
        <x:v>Synthetic</x:v>
      </x:c>
      <x:c r="E13" s="14" t="str">
        <x:v>Three promotional weeks in each 13-week block</x:v>
      </x:c>
      <x:c r="F13" s="14" t="str">
        <x:v>Promotion indicator for regression</x:v>
      </x:c>
      <x:c r="G13" s="2"/>
      <x:c r="H13" s="2"/>
      <x:c r="I13" s="2"/>
    </x:row>
    <x:row r="14" ht="40" customHeight="1">
      <x:c r="A14" s="2" t="str">
        <x:v>Promo_Depth</x:v>
      </x:c>
      <x:c r="B14" s="14" t="str">
        <x:v>Discount as a proportion of the regular shelf price</x:v>
      </x:c>
      <x:c r="C14" s="14" t="str">
        <x:v>Decimal fraction</x:v>
      </x:c>
      <x:c r="D14" s="14" t="str">
        <x:v>Synthetic</x:v>
      </x:c>
      <x:c r="E14" s="14" t="str">
        <x:v>0.05 means 5%; zero outside promotion weeks</x:v>
      </x:c>
      <x:c r="F14" s="14" t="str">
        <x:v>Variable promotional intensity</x:v>
      </x:c>
      <x:c r="G14" s="2"/>
      <x:c r="H14" s="2"/>
      <x:c r="I14" s="2"/>
    </x:row>
    <x:row r="15" ht="40" customHeight="1">
      <x:c r="A15" s="2" t="str">
        <x:v>Event_Flag</x:v>
      </x:c>
      <x:c r="B15" s="14" t="str">
        <x:v>Week overlaps a defined Ramadan/Eid demand window</x:v>
      </x:c>
      <x:c r="C15" s="14" t="str">
        <x:v>0 or 1</x:v>
      </x:c>
      <x:c r="D15" s="14" t="str">
        <x:v>Calendar-grounded mapping; assumed effect</x:v>
      </x:c>
      <x:c r="E15" s="14" t="str">
        <x:v>Ramadan begins minus 7 days through Eid-ul-Fitr plus 2 days; Eid-ul-Adha minus 6 through plus 2 days</x:v>
      </x:c>
      <x:c r="F15" s="14" t="str">
        <x:v>Moving religious calendar, not a fixed 52-week repeat</x:v>
      </x:c>
      <x:c r="G15" s="2"/>
      <x:c r="H15" s="2"/>
      <x:c r="I15" s="2"/>
    </x:row>
    <x:row r="16" ht="40" customHeight="1">
      <x:c r="A16" s="2" t="str">
        <x:v>Event_Name</x:v>
      </x:c>
      <x:c r="B16" s="14" t="str">
        <x:v>Calendar window or windows present in the week</x:v>
      </x:c>
      <x:c r="C16" s="14" t="str">
        <x:v>Text; blank otherwise</x:v>
      </x:c>
      <x:c r="D16" s="14" t="str">
        <x:v>Calendar-grounded mapping</x:v>
      </x:c>
      <x:c r="E16" s="14" t="str">
        <x:v>Ramadan stocking, Ramadan, Eid-ul-Fitr or Eid-ul-Adha</x:v>
      </x:c>
      <x:c r="F16" s="14" t="str">
        <x:v>Explain and annotate calendar effects</x:v>
      </x:c>
      <x:c r="G16" s="2"/>
      <x:c r="H16" s="2"/>
      <x:c r="I16" s="2"/>
    </x:row>
    <x:row r="17" ht="40" customHeight="1">
      <x:c r="A17" s="2" t="str">
        <x:v>Distribution_Points</x:v>
      </x:c>
      <x:c r="B17" s="14" t="str">
        <x:v>Active outlets carrying this SKU during the week</x:v>
      </x:c>
      <x:c r="C17" s="14" t="str">
        <x:v>Number of outlets</x:v>
      </x:c>
      <x:c r="D17" s="14" t="str">
        <x:v>Synthetic</x:v>
      </x:c>
      <x:c r="E17" s="14" t="str">
        <x:v>Initial 1,000; assumed expansion plus local variation, independent of promotions</x:v>
      </x:c>
      <x:c r="F17" s="14" t="str">
        <x:v>Additional driver: wider availability can support sales</x:v>
      </x:c>
      <x:c r="G17" s="2"/>
      <x:c r="H17" s="2"/>
      <x:c r="I17" s="2"/>
    </x:row>
    <x:row r="18" ht="40" customHeight="1">
      <x:c r="A18" s="2" t="str">
        <x:v>Stockout_Flag</x:v>
      </x:c>
      <x:c r="B18" s="14" t="str">
        <x:v>Recorded sales are suppressed by limited stock availability</x:v>
      </x:c>
      <x:c r="C18" s="14" t="str">
        <x:v>0 or 1</x:v>
      </x:c>
      <x:c r="D18" s="14" t="str">
        <x:v>Synthetic</x:v>
      </x:c>
      <x:c r="E18" s="14" t="str">
        <x:v>Four weeks, within two labelled supply disruptions</x:v>
      </x:c>
      <x:c r="F18" s="14" t="str">
        <x:v>Explain sales shortfalls; realised future flags are not known forecast inputs</x:v>
      </x:c>
      <x:c r="G18" s="2"/>
      <x:c r="H18" s="2"/>
      <x:c r="I18" s="2"/>
    </x:row>
    <x:row r="19" ht="40" customHeight="1">
      <x:c r="A19" s="2" t="str">
        <x:v>Exceptional_Event</x:v>
      </x:c>
      <x:c r="B19" s="14" t="str">
        <x:v>Description of a one-off illustrative business shock</x:v>
      </x:c>
      <x:c r="C19" s="14" t="str">
        <x:v>Text; blank otherwise</x:v>
      </x:c>
      <x:c r="D19" s="14" t="str">
        <x:v>Synthetic scenario</x:v>
      </x:c>
      <x:c r="E19" s="14" t="str">
        <x:v>Four two-week episodes; none asserted to have occurred at Matco</x:v>
      </x:c>
      <x:c r="F19" s="14" t="str">
        <x:v>Diagnose abnormal observations and large misses</x:v>
      </x:c>
      <x:c r="G19" s="2"/>
      <x:c r="H19" s="2"/>
      <x:c r="I19" s="2"/>
    </x:row>
    <x:row r="20" ht="40" customHeight="1">
      <x:c r="A20" s="2" t="str">
        <x:v>Data_Split</x:v>
      </x:c>
      <x:c r="B20" s="14" t="str">
        <x:v>Predefined modelling/evaluation partition</x:v>
      </x:c>
      <x:c r="C20" s="14" t="str">
        <x:v>Train or Holdout</x:v>
      </x:c>
      <x:c r="D20" s="14" t="str">
        <x:v>Analytical design</x:v>
      </x:c>
      <x:c r="E20" s="14" t="str">
        <x:v>First 144 weeks Train, final 12 Holdout</x:v>
      </x:c>
      <x:c r="F20" s="14" t="str">
        <x:v>Prevent fitting to final evaluation actuals</x:v>
      </x:c>
      <x:c r="G20" s="2"/>
      <x:c r="H20" s="2"/>
      <x:c r="I20" s="2"/>
    </x:row>
    <x:row r="21" ht="40" customHeight="1">
      <x:c r="A21" s="2" t="str">
        <x:v>Dataset_Label</x:v>
      </x:c>
      <x:c r="B21" s="14" t="str">
        <x:v>Required disclosure attached to every CSV record</x:v>
      </x:c>
      <x:c r="C21" s="14" t="str">
        <x:v>Text</x:v>
      </x:c>
      <x:c r="D21" s="14" t="str">
        <x:v>Academic disclosure</x:v>
      </x:c>
      <x:c r="E21" s="14" t="str">
        <x:v>Exact Section 4.2 label with company name filled in</x:v>
      </x:c>
      <x:c r="F21" s="14" t="str">
        <x:v>Preserve synthetic-data transparency when rows are copied</x:v>
      </x:c>
      <x:c r="G21" s="2"/>
      <x:c r="H21" s="2"/>
      <x:c r="I21" s="2"/>
    </x:row>
    <x:row r="22" ht="22" customHeight="1">
      <x:c r="A22" s="2"/>
      <x:c r="B22" s="2"/>
      <x:c r="C22" s="2"/>
      <x:c r="D22" s="2"/>
      <x:c r="E22" s="2"/>
      <x:c r="F22" s="2"/>
      <x:c r="G22" s="2"/>
      <x:c r="H22" s="2"/>
      <x:c r="I22" s="2"/>
    </x:row>
  </x:sheetData>
  <x:mergeCells>
    <x:mergeCell ref="A1:I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32" hidden="0" customWidth="1"/>
    <x:col min="2" max="2" width="97" hidden="0" customWidth="1"/>
    <x:col min="3" max="3" width="75" hidden="0" customWidth="1"/>
  </x:cols>
  <x:sheetData>
    <x:row r="1" ht="22" customHeight="1">
      <x:c r="A1" s="5" t="str">
        <x:v>Company-Calibrated Synthetic Dataset for Academic Analysis — illustrative figures, calibrated to Matco Foods Limited's disclosed scale, not actual company records.</x:v>
      </x:c>
      <x:c r="B1" s="5"/>
      <x:c r="C1" s="5"/>
      <x:c r="D1" s="5"/>
      <x:c r="E1" s="5"/>
      <x:c r="F1" s="5"/>
      <x:c r="G1" s="5"/>
      <x:c r="H1" s="5"/>
      <x:c r="I1" s="5"/>
    </x:row>
    <x:row r="2" ht="22" customHeight="1">
      <x:c r="A2" s="5"/>
      <x:c r="B2" s="5"/>
      <x:c r="C2" s="5"/>
      <x:c r="D2" s="5"/>
      <x:c r="E2" s="5"/>
      <x:c r="F2" s="5"/>
      <x:c r="G2" s="5"/>
      <x:c r="H2" s="5"/>
      <x:c r="I2" s="5"/>
    </x:row>
    <x:row r="3" ht="22" customHeight="1">
      <x:c r="A3" s="2"/>
      <x:c r="B3" s="2"/>
      <x:c r="C3" s="2"/>
      <x:c r="D3" s="2"/>
      <x:c r="E3" s="2"/>
      <x:c r="F3" s="2"/>
      <x:c r="G3" s="2"/>
      <x:c r="H3" s="2"/>
      <x:c r="I3" s="2"/>
    </x:row>
    <x:row r="4" ht="22" customHeight="1">
      <x:c r="A4" s="13" t="str">
        <x:v>Assumptions, calibration and planning inputs</x:v>
      </x:c>
      <x:c r="B4" s="2"/>
      <x:c r="C4" s="2"/>
      <x:c r="D4" s="2"/>
      <x:c r="E4" s="2"/>
      <x:c r="F4" s="2"/>
      <x:c r="G4" s="2"/>
      <x:c r="H4" s="2"/>
      <x:c r="I4" s="2"/>
    </x:row>
    <x:row r="5" ht="22" customHeight="1">
      <x:c r="A5" s="2"/>
      <x:c r="B5" s="2"/>
      <x:c r="C5" s="2"/>
      <x:c r="D5" s="2"/>
      <x:c r="E5" s="2"/>
      <x:c r="F5" s="2"/>
      <x:c r="G5" s="2"/>
      <x:c r="H5" s="2"/>
      <x:c r="I5" s="2"/>
    </x:row>
    <x:row r="6" ht="22" customHeight="1">
      <x:c r="A6" s="15" t="str">
        <x:v>Starting weekly sales are centred on an assumed 5,000 packs, equivalent to 25 tonnes, using 1,000 illustrative retail outlets selling five packs each per week. A modest 2% annual underlying trend and gradual outlet expansion are assumed for this SKU, while allowing price increases to offset part of the growth. Calendar-grounded Ramadan stocking and Eid shopping windows create brief peaks, with a smaller lift during the middle of Ramadan. Regular shelf prices change in multi-week blocks from PKR 2,400 to PKR 2,865, and the assumed price response is modest and varies by week. Promotions run in about 23% of weeks with 5–12% discounts and an imperfect 10–40% demand lift, while ordinary weekly noise has an approximate 7.5% scale. Distribution_Points is included because wider retail availability can support higher total pack sales, and four labelled two-week shocks illustrate competitor discounts, retailer displays, packaging delays and transport disruption. This dataset does not reproduce Matco's actual SKU sales, distributor inventories, costs, capacities or lost demand, and its simulated relationships cannot establish real-world causation.</x:v>
      </x:c>
      <x:c r="B6" s="15"/>
      <x:c r="C6" s="15"/>
      <x:c r="D6" s="2"/>
      <x:c r="E6" s="2"/>
      <x:c r="F6" s="2"/>
      <x:c r="G6" s="2"/>
      <x:c r="H6" s="2"/>
      <x:c r="I6" s="2"/>
    </x:row>
    <x:row r="7" ht="22" customHeight="1">
      <x:c r="A7" s="15"/>
      <x:c r="B7" s="15"/>
      <x:c r="C7" s="15"/>
      <x:c r="D7" s="2"/>
      <x:c r="E7" s="2"/>
      <x:c r="F7" s="2"/>
      <x:c r="G7" s="2"/>
      <x:c r="H7" s="2"/>
      <x:c r="I7" s="2"/>
    </x:row>
    <x:row r="8" ht="22" customHeight="1">
      <x:c r="A8" s="15"/>
      <x:c r="B8" s="15"/>
      <x:c r="C8" s="15"/>
      <x:c r="D8" s="2"/>
      <x:c r="E8" s="2"/>
      <x:c r="F8" s="2"/>
      <x:c r="G8" s="2"/>
      <x:c r="H8" s="2"/>
      <x:c r="I8" s="2"/>
    </x:row>
    <x:row r="9" ht="22" customHeight="1">
      <x:c r="A9" s="15"/>
      <x:c r="B9" s="15"/>
      <x:c r="C9" s="15"/>
      <x:c r="D9" s="2"/>
      <x:c r="E9" s="2"/>
      <x:c r="F9" s="2"/>
      <x:c r="G9" s="2"/>
      <x:c r="H9" s="2"/>
      <x:c r="I9" s="2"/>
    </x:row>
    <x:row r="10" ht="22" customHeight="1">
      <x:c r="A10" s="15"/>
      <x:c r="B10" s="15"/>
      <x:c r="C10" s="15"/>
      <x:c r="D10" s="2"/>
      <x:c r="E10" s="2"/>
      <x:c r="F10" s="2"/>
      <x:c r="G10" s="2"/>
      <x:c r="H10" s="2"/>
      <x:c r="I10" s="2"/>
    </x:row>
    <x:row r="11" ht="22" customHeight="1">
      <x:c r="A11" s="2"/>
      <x:c r="B11" s="2"/>
      <x:c r="C11" s="2"/>
      <x:c r="D11" s="2"/>
      <x:c r="E11" s="2"/>
      <x:c r="F11" s="2"/>
      <x:c r="G11" s="2"/>
      <x:c r="H11" s="2"/>
      <x:c r="I11" s="2"/>
    </x:row>
    <x:row r="12" ht="32" customHeight="1">
      <x:c r="A12" s="9" t="str">
        <x:v>Element</x:v>
      </x:c>
      <x:c r="B12" s="9" t="str">
        <x:v>Documented input / method</x:v>
      </x:c>
      <x:c r="C12" s="9" t="str">
        <x:v>Status / interpretation</x:v>
      </x:c>
      <x:c r="D12" s="2"/>
      <x:c r="E12" s="2"/>
      <x:c r="F12" s="2"/>
      <x:c r="G12" s="2"/>
      <x:c r="H12" s="2"/>
      <x:c r="I12" s="2"/>
    </x:row>
    <x:row r="13" ht="40" customHeight="1">
      <x:c r="A13" s="14" t="str">
        <x:v>Decision</x:v>
      </x:c>
      <x:c r="B13" s="14" t="str">
        <x:v>Supply 5 kg packs over a 12-week horizon; determine packing and inventory commitments</x:v>
      </x:c>
      <x:c r="C13" s="14" t="str">
        <x:v>Selected project scope</x:v>
      </x:c>
      <x:c r="D13" s="2"/>
      <x:c r="E13" s="2"/>
      <x:c r="F13" s="2"/>
      <x:c r="G13" s="2"/>
      <x:c r="H13" s="2"/>
      <x:c r="I13" s="2"/>
    </x:row>
    <x:row r="14" ht="40" customHeight="1">
      <x:c r="A14" s="14" t="str">
        <x:v>Demand unit</x:v>
      </x:c>
      <x:c r="B14" s="14" t="str">
        <x:v>One unit = one 5 kg pack; packs × 5 / 1,000 = tonnes</x:v>
      </x:c>
      <x:c r="C14" s="14" t="str">
        <x:v>Defined conversion</x:v>
      </x:c>
      <x:c r="D14" s="2"/>
      <x:c r="E14" s="2"/>
      <x:c r="F14" s="2"/>
      <x:c r="G14" s="2"/>
      <x:c r="H14" s="2"/>
      <x:c r="I14" s="2"/>
    </x:row>
    <x:row r="15" ht="40" customHeight="1">
      <x:c r="A15" s="14" t="str">
        <x:v>Demand level</x:v>
      </x:c>
      <x:c r="B15" s="14" t="str">
        <x:v>5,000 baseline packs/week; 1,000 outlets × 5 packs</x:v>
      </x:c>
      <x:c r="C15" s="14" t="str">
        <x:v>Assumed; not disclosed SKU volume</x:v>
      </x:c>
      <x:c r="D15" s="2"/>
      <x:c r="E15" s="2"/>
      <x:c r="F15" s="2"/>
      <x:c r="G15" s="2"/>
      <x:c r="H15" s="2"/>
      <x:c r="I15" s="2"/>
    </x:row>
    <x:row r="16" ht="40" customHeight="1">
      <x:c r="A16" s="14" t="str">
        <x:v>Company revenue calibration</x:v>
      </x:c>
      <x:c r="B16" s="14" t="str">
        <x:v>FY2026 consolidated sales approximately PKR 23.84671 billion</x:v>
      </x:c>
      <x:c r="C16" s="14" t="str">
        <x:v>Reported company-wide figure, not SKU revenue</x:v>
      </x:c>
      <x:c r="D16" s="2"/>
      <x:c r="E16" s="2"/>
      <x:c r="F16" s="2"/>
      <x:c r="G16" s="2"/>
      <x:c r="H16" s="2"/>
      <x:c r="I16" s="2"/>
    </x:row>
    <x:row r="17" ht="40" customHeight="1">
      <x:c r="A17" s="14" t="str">
        <x:v>Scale cross-check</x:v>
      </x:c>
      <x:c r="B17" s="14" t="str">
        <x:v>5,000 × 52 × PKR 2,800 = PKR 728 million retail value before trend, events and discounts</x:v>
      </x:c>
      <x:c r="C17" s="14" t="str">
        <x:v>Rough scale check only; retail value is not Matco net sales</x:v>
      </x:c>
      <x:c r="D17" s="2"/>
      <x:c r="E17" s="2"/>
      <x:c r="F17" s="2"/>
      <x:c r="G17" s="2"/>
      <x:c r="H17" s="2"/>
      <x:c r="I17" s="2"/>
    </x:row>
    <x:row r="18" ht="40" customHeight="1">
      <x:c r="A18" s="14" t="str">
        <x:v>Revenue comparability</x:v>
      </x:c>
      <x:c r="B18" s="14" t="str">
        <x:v>PSX standalone sales differ from consolidated sales; use the consolidated benchmark consistently</x:v>
      </x:c>
      <x:c r="C18" s="14" t="str">
        <x:v>No inference of SKU market share from company revenue</x:v>
      </x:c>
      <x:c r="D18" s="2"/>
      <x:c r="E18" s="2"/>
      <x:c r="F18" s="2"/>
      <x:c r="G18" s="2"/>
      <x:c r="H18" s="2"/>
      <x:c r="I18" s="2"/>
    </x:row>
    <x:row r="19" ht="40" customHeight="1">
      <x:c r="A19" s="14" t="str">
        <x:v>Observed retail price</x:v>
      </x:c>
      <x:c r="B19" s="14" t="str">
        <x:v>PKR 2,800 offer / PKR 2,865 regular price, observed 2026-09-30</x:v>
      </x:c>
      <x:c r="C19" s="14" t="str">
        <x:v>Falak official online store; snapshot, not a national average</x:v>
      </x:c>
      <x:c r="D19" s="2"/>
      <x:c r="E19" s="2"/>
      <x:c r="F19" s="2"/>
      <x:c r="G19" s="2"/>
      <x:c r="H19" s="2"/>
      <x:c r="I19" s="2"/>
    </x:row>
    <x:row r="20" ht="40" customHeight="1">
      <x:c r="A20" s="14" t="str">
        <x:v>Historical Price</x:v>
      </x:c>
      <x:c r="B20" s="14" t="str">
        <x:v>2,400; 2,500; 2,600; 2,550; 2,650; 2,750; 2,800; 2,865 PKR</x:v>
      </x:c>
      <x:c r="C20" s="14" t="str">
        <x:v>All historical prices are synthetic; multi-week blocks</x:v>
      </x:c>
      <x:c r="D20" s="2"/>
      <x:c r="E20" s="2"/>
      <x:c r="F20" s="2"/>
      <x:c r="G20" s="2"/>
      <x:c r="H20" s="2"/>
      <x:c r="I20" s="2"/>
    </x:row>
    <x:row r="21" ht="40" customHeight="1">
      <x:c r="A21" s="14" t="str">
        <x:v>Underlying growth</x:v>
      </x:c>
      <x:c r="B21" s="14" t="str">
        <x:v>2% per year, before coverage, prices and other drivers</x:v>
      </x:c>
      <x:c r="C21" s="14" t="str">
        <x:v>Assumed SKU trend, not inferred from company growth</x:v>
      </x:c>
      <x:c r="D21" s="2"/>
      <x:c r="E21" s="2"/>
      <x:c r="F21" s="2"/>
      <x:c r="G21" s="2"/>
      <x:c r="H21" s="2"/>
      <x:c r="I21" s="2"/>
    </x:row>
    <x:row r="22" ht="40" customHeight="1">
      <x:c r="A22" s="14" t="str">
        <x:v>Price effect</x:v>
      </x:c>
      <x:c r="B22" s="14" t="str">
        <x:v>Elasticity varies approximately -0.35 to -0.50 in the simulation</x:v>
      </x:c>
      <x:c r="C22" s="14" t="str">
        <x:v>Built-in illustrative response; regression may estimate differently</x:v>
      </x:c>
      <x:c r="D22" s="2"/>
      <x:c r="E22" s="2"/>
      <x:c r="F22" s="2"/>
      <x:c r="G22" s="2"/>
      <x:c r="H22" s="2"/>
      <x:c r="I22" s="2"/>
    </x:row>
    <x:row r="23" ht="40" customHeight="1">
      <x:c r="A23" s="14" t="str">
        <x:v>Promo schedule</x:v>
      </x:c>
      <x:c r="B23" s="14" t="str">
        <x:v>36 of 156 weeks (23.1%); 5%, 8%, 10% or 12% discounts</x:v>
      </x:c>
      <x:c r="C23" s="14" t="str">
        <x:v>Synthetic; some overlap with events and some do not</x:v>
      </x:c>
      <x:c r="D23" s="2"/>
      <x:c r="E23" s="2"/>
      <x:c r="F23" s="2"/>
      <x:c r="G23" s="2"/>
      <x:c r="H23" s="2"/>
      <x:c r="I23" s="2"/>
    </x:row>
    <x:row r="24" ht="40" customHeight="1">
      <x:c r="A24" s="14" t="str">
        <x:v>Promo uplift</x:v>
      </x:c>
      <x:c r="B24" s="14" t="str">
        <x:v>10–40% of the non-promotional baseline, varying by discount and week</x:v>
      </x:c>
      <x:c r="C24" s="14" t="str">
        <x:v>The net observed uplift may be masked by noise or stockouts</x:v>
      </x:c>
      <x:c r="D24" s="2"/>
      <x:c r="E24" s="2"/>
      <x:c r="F24" s="2"/>
      <x:c r="G24" s="2"/>
      <x:c r="H24" s="2"/>
      <x:c r="I24" s="2"/>
    </x:row>
    <x:row r="25" ht="40" customHeight="1">
      <x:c r="A25" s="14" t="str">
        <x:v>Calendar effect</x:v>
      </x:c>
      <x:c r="B25" s="14" t="str">
        <x:v>Daily exposure aggregated to weeks; short stocking/Eid peaks, smaller mid-Ramadan lift</x:v>
      </x:c>
      <x:c r="C25" s="14" t="str">
        <x:v>Real dates; assumed shopping windows and demand effects</x:v>
      </x:c>
      <x:c r="D25" s="2"/>
      <x:c r="E25" s="2"/>
      <x:c r="F25" s="2"/>
      <x:c r="G25" s="2"/>
      <x:c r="H25" s="2"/>
      <x:c r="I25" s="2"/>
    </x:row>
    <x:row r="26" ht="40" customHeight="1">
      <x:c r="A26" s="14" t="str">
        <x:v>Distribution driver</x:v>
      </x:c>
      <x:c r="B26" s="14" t="str">
        <x:v>Outlet count expands in steps with independent local changes</x:v>
      </x:c>
      <x:c r="C26" s="14" t="str">
        <x:v>Synthetic; stockout flag handles availability constraints separately</x:v>
      </x:c>
      <x:c r="D26" s="2"/>
      <x:c r="E26" s="2"/>
      <x:c r="F26" s="2"/>
      <x:c r="G26" s="2"/>
      <x:c r="H26" s="2"/>
      <x:c r="I26" s="2"/>
    </x:row>
    <x:row r="27" ht="40" customHeight="1">
      <x:c r="A27" s="14" t="str">
        <x:v>Weekly noise</x:v>
      </x:c>
      <x:c r="B27" s="14" t="str">
        <x:v>Multiplicative lognormal noise with approximately 7.5% scale</x:v>
      </x:c>
      <x:c r="C27" s="14" t="str">
        <x:v>Imperfect relationships; fixed seed 3532026</x:v>
      </x:c>
      <x:c r="D27" s="2"/>
      <x:c r="E27" s="2"/>
      <x:c r="F27" s="2"/>
      <x:c r="G27" s="2"/>
      <x:c r="H27" s="2"/>
      <x:c r="I27" s="2"/>
    </x:row>
    <x:row r="28" ht="40" customHeight="1">
      <x:c r="A28" s="14" t="str">
        <x:v>Competitor campaign</x:v>
      </x:c>
      <x:c r="B28" s="14" t="str">
        <x:v>2024-08-05 and 2024-08-12; lower sales</x:v>
      </x:c>
      <x:c r="C28" s="14" t="str">
        <x:v>Illustrative shock; not actual Matco history</x:v>
      </x:c>
      <x:c r="D28" s="2"/>
      <x:c r="E28" s="2"/>
      <x:c r="F28" s="2"/>
      <x:c r="G28" s="2"/>
      <x:c r="H28" s="2"/>
      <x:c r="I28" s="2"/>
    </x:row>
    <x:row r="29" ht="40" customHeight="1">
      <x:c r="A29" s="14" t="str">
        <x:v>Retailer display campaign</x:v>
      </x:c>
      <x:c r="B29" s="14" t="str">
        <x:v>2025-05-12 and 2025-05-19; higher sales</x:v>
      </x:c>
      <x:c r="C29" s="14" t="str">
        <x:v>Illustrative shock; not actual Matco history</x:v>
      </x:c>
      <x:c r="D29" s="2"/>
      <x:c r="E29" s="2"/>
      <x:c r="F29" s="2"/>
      <x:c r="G29" s="2"/>
      <x:c r="H29" s="2"/>
      <x:c r="I29" s="2"/>
    </x:row>
    <x:row r="30" ht="40" customHeight="1">
      <x:c r="A30" s="14" t="str">
        <x:v>Packaging delay</x:v>
      </x:c>
      <x:c r="B30" s="14" t="str">
        <x:v>2026-03-30 and 2026-04-06; lower sales and Stockout_Flag=1</x:v>
      </x:c>
      <x:c r="C30" s="14" t="str">
        <x:v>Illustrative shock; not actual Matco history</x:v>
      </x:c>
      <x:c r="D30" s="2"/>
      <x:c r="E30" s="2"/>
      <x:c r="F30" s="2"/>
      <x:c r="G30" s="2"/>
      <x:c r="H30" s="2"/>
      <x:c r="I30" s="2"/>
    </x:row>
    <x:row r="31" ht="40" customHeight="1">
      <x:c r="A31" s="14" t="str">
        <x:v>Transport disruption</x:v>
      </x:c>
      <x:c r="B31" s="14" t="str">
        <x:v>2026-08-24 and 2026-08-31; lower sales and Stockout_Flag=1</x:v>
      </x:c>
      <x:c r="C31" s="14" t="str">
        <x:v>Illustrative shock in holdout; not actual Matco history</x:v>
      </x:c>
      <x:c r="D31" s="2"/>
      <x:c r="E31" s="2"/>
      <x:c r="F31" s="2"/>
      <x:c r="G31" s="2"/>
      <x:c r="H31" s="2"/>
      <x:c r="I31" s="2"/>
    </x:row>
    <x:row r="32" ht="40" customHeight="1">
      <x:c r="A32" s="14" t="str">
        <x:v>Training period</x:v>
      </x:c>
      <x:c r="B32" s="14" t="str">
        <x:v>2023-10-02 to 2026-06-29: 144 weeks</x:v>
      </x:c>
      <x:c r="C32" s="14" t="str">
        <x:v>Fit methods and regression using these actuals only</x:v>
      </x:c>
      <x:c r="D32" s="2"/>
      <x:c r="E32" s="2"/>
      <x:c r="F32" s="2"/>
      <x:c r="G32" s="2"/>
      <x:c r="H32" s="2"/>
      <x:c r="I32" s="2"/>
    </x:row>
    <x:row r="33" ht="40" customHeight="1">
      <x:c r="A33" s="14" t="str">
        <x:v>Holdout period</x:v>
      </x:c>
      <x:c r="B33" s="14" t="str">
        <x:v>2026-07-06 to 2026-09-21: 12 weeks</x:v>
      </x:c>
      <x:c r="C33" s="14" t="str">
        <x:v>Forecast from 2026-07-05, then reveal actuals to score</x:v>
      </x:c>
      <x:c r="D33" s="2"/>
      <x:c r="E33" s="2"/>
      <x:c r="F33" s="2"/>
      <x:c r="G33" s="2"/>
      <x:c r="H33" s="2"/>
      <x:c r="I33" s="2"/>
    </x:row>
    <x:row r="34" ht="40" customHeight="1">
      <x:c r="A34" s="14" t="str">
        <x:v>Holdout driver treatment</x:v>
      </x:c>
      <x:c r="B34" s="14" t="str">
        <x:v>Calendar and planned promo/price may be known; realised outlets and stockouts require assumptions</x:v>
      </x:c>
      <x:c r="C34" s="14" t="str">
        <x:v>Do not feed observed holdout outcomes into a forward forecast</x:v>
      </x:c>
      <x:c r="D34" s="2"/>
      <x:c r="E34" s="2"/>
      <x:c r="F34" s="2"/>
      <x:c r="G34" s="2"/>
      <x:c r="H34" s="2"/>
      <x:c r="I34" s="2"/>
    </x:row>
    <x:row r="35" ht="40" customHeight="1">
      <x:c r="A35" s="14" t="str">
        <x:v>Historical_Forecast usage</x:v>
      </x:c>
      <x:c r="B35" s="14" t="str">
        <x:v>Synthetic weekly prior forecasts use no current or future Actual_Demand</x:v>
      </x:c>
      <x:c r="C35" s="14" t="str">
        <x:v>Do not substitute this series for common-origin model evaluation</x:v>
      </x:c>
      <x:c r="D35" s="2"/>
      <x:c r="E35" s="2"/>
      <x:c r="F35" s="2"/>
      <x:c r="G35" s="2"/>
      <x:c r="H35" s="2"/>
      <x:c r="I35" s="2"/>
    </x:row>
    <x:row r="36" ht="40" customHeight="1">
      <x:c r="A36" s="14" t="str">
        <x:v>Validation meaning</x:v>
      </x:c>
      <x:c r="B36" s="14" t="str">
        <x:v>An unseen final block acts like a practice exam: forecasts are scored only after fitting</x:v>
      </x:c>
      <x:c r="C36" s="14" t="str">
        <x:v>With synthetic data, this tests the pipeline, not real company forecasting accuracy</x:v>
      </x:c>
      <x:c r="D36" s="2"/>
      <x:c r="E36" s="2"/>
      <x:c r="F36" s="2"/>
      <x:c r="G36" s="2"/>
      <x:c r="H36" s="2"/>
      <x:c r="I36" s="2"/>
    </x:row>
    <x:row r="37" ht="40" customHeight="1">
      <x:c r="A37" s="14" t="str">
        <x:v>Future forecast origin</x:v>
      </x:c>
      <x:c r="B37" s="14" t="str">
        <x:v>After the week ending 2026-09-27; forward period 2026-09-28 to 2026-12-20</x:v>
      </x:c>
      <x:c r="C37" s="14" t="str">
        <x:v>Academic planning snapshot: this forward plan is completed in the analysis notebook.</x:v>
      </x:c>
      <x:c r="D37" s="2"/>
      <x:c r="E37" s="2"/>
      <x:c r="F37" s="2"/>
      <x:c r="G37" s="2"/>
      <x:c r="H37" s="2"/>
      <x:c r="I37" s="2"/>
    </x:row>
    <x:row r="38" ht="40" customHeight="1">
      <x:c r="A38" s="14" t="str">
        <x:v>Freeze rule</x:v>
      </x:c>
      <x:c r="B38" s="14" t="str">
        <x:v>CSV is frozen before model comparison; keep seed and SHA-256 below</x:v>
      </x:c>
      <x:c r="C38" s="14" t="str">
        <x:v>Do not regenerate to improve model scores</x:v>
      </x:c>
      <x:c r="D38" s="2"/>
      <x:c r="E38" s="2"/>
      <x:c r="F38" s="2"/>
      <x:c r="G38" s="2"/>
      <x:c r="H38" s="2"/>
      <x:c r="I38" s="2"/>
    </x:row>
    <x:row r="39" ht="40" customHeight="1">
      <x:c r="A39" s="14" t="str">
        <x:v>CSV SHA-256</x:v>
      </x:c>
      <x:c r="B39" s="14" t="str">
        <x:v>b94ac87db74da82ec4360aef446667e8a1478c87497c226f32728fae85d79a1d</x:v>
      </x:c>
      <x:c r="C39" s="14" t="str">
        <x:v>Detect changes to the frozen dataset</x:v>
      </x:c>
      <x:c r="D39" s="2"/>
      <x:c r="E39" s="2"/>
      <x:c r="F39" s="2"/>
      <x:c r="G39" s="2"/>
      <x:c r="H39" s="2"/>
      <x:c r="I39" s="2"/>
    </x:row>
    <x:row r="40" ht="40" customHeight="1">
      <x:c r="A40" s="14" t="str">
        <x:v>CSV reading</x:v>
      </x:c>
      <x:c r="B40" s="14" t="str">
        <x:v>Standard CSV header on row 1; pandas.read_csv(filename), parse_dates=[Week_Start_Date]</x:v>
      </x:c>
      <x:c r="C40" s="14" t="str">
        <x:v>Promo_Depth is a fraction; Dataset_Label carries disclosure on every record</x:v>
      </x:c>
      <x:c r="D40" s="2"/>
      <x:c r="E40" s="2"/>
      <x:c r="F40" s="2"/>
      <x:c r="G40" s="2"/>
      <x:c r="H40" s="2"/>
      <x:c r="I40" s="2"/>
    </x:row>
    <x:row r="41" ht="40" customHeight="1">
      <x:c r="A41" s="14" t="str">
        <x:v>Limitations</x:v>
      </x:c>
      <x:c r="B41" s="14" t="str">
        <x:v>Retail sales can understate demand during stockouts; no real unit costs, capacities or lead times supplied</x:v>
      </x:c>
      <x:c r="C41" s="14" t="str">
        <x:v>Operational assumptions will be documented before decision stress tests</x:v>
      </x:c>
      <x:c r="D41" s="2"/>
      <x:c r="E41" s="2"/>
      <x:c r="F41" s="2"/>
      <x:c r="G41" s="2"/>
      <x:c r="H41" s="2"/>
      <x:c r="I41" s="2"/>
    </x:row>
    <x:row r="42" ht="40" customHeight="1">
      <x:c r="A42" s="14" t="str">
        <x:v>Operational plan</x:v>
      </x:c>
      <x:c r="B42" s="14" t="str">
        <x:v>6,000 regular packs/week; 7,000 reserved option; 2,500 opening/target buffer; one-week lead time; first two weeks firm</x:v>
      </x:c>
      <x:c r="C42" s="14" t="str">
        <x:v>All assumed, not Matco capacity or stock records</x:v>
      </x:c>
      <x:c r="D42" s="2"/>
      <x:c r="E42" s="2"/>
      <x:c r="F42" s="2"/>
      <x:c r="G42" s="2"/>
      <x:c r="H42" s="2"/>
      <x:c r="I42" s="2"/>
    </x:row>
    <x:row r="43" ht="40" customHeight="1">
      <x:c r="A43" s="14" t="str">
        <x:v>Cost input</x:v>
      </x:c>
      <x:c r="B43" s="14" t="str">
        <x:v>PKR 2,400 per finished pack; buffer value PKR 6 million</x:v>
      </x:c>
      <x:c r="C43" s="14" t="str">
        <x:v>Assumed operating cost, distinct from the retail shelf price</x:v>
      </x:c>
      <x:c r="D43" s="2"/>
      <x:c r="E43" s="2"/>
      <x:c r="F43" s="2"/>
      <x:c r="G43" s="2"/>
      <x:c r="H43" s="2"/>
      <x:c r="I43" s="2"/>
    </x:row>
    <x:row r="44" ht="40" customHeight="1">
      <x:c r="A44" s="14" t="str">
        <x:v>Forward calendar / promotions</x:v>
      </x:c>
      <x:c r="B44" s="14" t="str">
        <x:v>No approved future promotion schedule supplied; no Ramadan/Eid in the 12-week planning window</x:v>
      </x:c>
      <x:c r="C44" s="14" t="str">
        <x:v>SMA carries the recent mixed-week level; a promotion shock is tested separately</x:v>
      </x:c>
      <x:c r="D44" s="2"/>
      <x:c r="E44" s="2"/>
      <x:c r="F44" s="2"/>
      <x:c r="G44" s="2"/>
      <x:c r="H44" s="2"/>
      <x:c r="I44" s="2"/>
    </x:row>
    <x:row r="45" ht="22" customHeight="1">
      <x:c r="A45" s="2"/>
      <x:c r="B45" s="2"/>
      <x:c r="C45" s="2"/>
      <x:c r="D45" s="2"/>
      <x:c r="E45" s="2"/>
      <x:c r="F45" s="2"/>
      <x:c r="G45" s="2"/>
      <x:c r="H45" s="2"/>
      <x:c r="I45" s="2"/>
    </x:row>
    <x:row r="46" ht="22" customHeight="1">
      <x:c r="A46" s="2"/>
      <x:c r="B46" s="2"/>
      <x:c r="C46" s="2"/>
      <x:c r="D46" s="2"/>
      <x:c r="E46" s="2"/>
      <x:c r="F46" s="2"/>
      <x:c r="G46" s="2"/>
      <x:c r="H46" s="2"/>
      <x:c r="I46" s="2"/>
    </x:row>
    <x:row r="47" ht="32" customHeight="1">
      <x:c r="A47" s="9" t="str">
        <x:v>Source</x:v>
      </x:c>
      <x:c r="B47" s="9" t="str">
        <x:v>URL / reference</x:v>
      </x:c>
      <x:c r="C47" s="9" t="str">
        <x:v>Evidence used</x:v>
      </x:c>
      <x:c r="D47" s="2"/>
      <x:c r="E47" s="2"/>
      <x:c r="F47" s="2"/>
      <x:c r="G47" s="2"/>
      <x:c r="H47" s="2"/>
      <x:c r="I47" s="2"/>
    </x:row>
    <x:row r="48" ht="43" customHeight="1">
      <x:c r="A48" s="14" t="str">
        <x:v>Falak product and price</x:v>
      </x:c>
      <x:c r="B48" s="14" t="str">
        <x:v>https://estore.falakrice.com/collections/basmati-rice/products/extreme-basmati-rice-5kg-free-recipe-mixes</x:v>
      </x:c>
      <x:c r="C48" s="14" t="str">
        <x:v>Observed 2026-09-30; 1121 basmati, 5 kg, PKR 2,865/2,800</x:v>
      </x:c>
      <x:c r="D48" s="2"/>
      <x:c r="E48" s="2"/>
      <x:c r="F48" s="2"/>
      <x:c r="G48" s="2"/>
      <x:c r="H48" s="2"/>
      <x:c r="I48" s="2"/>
    </x:row>
    <x:row r="49" ht="43" customHeight="1">
      <x:c r="A49" s="14" t="str">
        <x:v>FY2026 consolidated results</x:v>
      </x:c>
      <x:c r="B49" s="14" t="str">
        <x:v>https://www.marketscreener.com/news/matco-foods-limited-reports-earnings-results-for-the-full-year-ended-june-30-2026-ce7858dfd08bf025</x:v>
      </x:c>
      <x:c r="C49" s="14" t="str">
        <x:v>Report dated 2026-08-28; consolidated sales PKR 23,846.71 million</x:v>
      </x:c>
      <x:c r="D49" s="2"/>
      <x:c r="E49" s="2"/>
      <x:c r="F49" s="2"/>
      <x:c r="G49" s="2"/>
      <x:c r="H49" s="2"/>
      <x:c r="I49" s="2"/>
    </x:row>
    <x:row r="50" ht="43" customHeight="1">
      <x:c r="A50" s="14" t="str">
        <x:v>PSX company / fiscal year</x:v>
      </x:c>
      <x:c r="B50" s="14" t="str">
        <x:v>https://dps.psx.com.pk/company/MFL</x:v>
      </x:c>
      <x:c r="C50" s="14" t="str">
        <x:v>MFL; June fiscal year-end; standalone figures differ from group results</x:v>
      </x:c>
      <x:c r="D50" s="2"/>
      <x:c r="E50" s="2"/>
      <x:c r="F50" s="2"/>
      <x:c r="G50" s="2"/>
      <x:c r="H50" s="2"/>
      <x:c r="I50" s="2"/>
    </x:row>
    <x:row r="51" ht="43" customHeight="1">
      <x:c r="A51" s="14" t="str">
        <x:v>FY2026 issuer filing</x:v>
      </x:c>
      <x:c r="B51" s="14" t="str">
        <x:v>https://dps.psx.com.pk/download/document/281910.pdf</x:v>
      </x:c>
      <x:c r="C51" s="14" t="str">
        <x:v>Filed 2026-08-28; scanned document located, text not independently extracted</x:v>
      </x:c>
      <x:c r="D51" s="2"/>
      <x:c r="E51" s="2"/>
      <x:c r="F51" s="2"/>
      <x:c r="G51" s="2"/>
      <x:c r="H51" s="2"/>
      <x:c r="I51" s="2"/>
    </x:row>
    <x:row r="52" ht="43" customHeight="1">
      <x:c r="A52" s="14" t="str">
        <x:v>2024 Ramadan start</x:v>
      </x:c>
      <x:c r="B52" s="14" t="str">
        <x:v>https://www.app.com.pk/domestic/moon-sighted-ist-ramazan-tomorrow/</x:v>
      </x:c>
      <x:c r="C52" s="14" t="str">
        <x:v>First fast 2024-03-12</x:v>
      </x:c>
      <x:c r="D52" s="2"/>
      <x:c r="E52" s="2"/>
      <x:c r="F52" s="2"/>
      <x:c r="G52" s="2"/>
      <x:c r="H52" s="2"/>
      <x:c r="I52" s="2"/>
    </x:row>
    <x:row r="53" ht="43" customHeight="1">
      <x:c r="A53" s="14" t="str">
        <x:v>2024 Eid-ul-Fitr</x:v>
      </x:c>
      <x:c r="B53" s="14" t="str">
        <x:v>https://www.timeanddate.com/holidays/pakistan/2024?hol=139465049</x:v>
      </x:c>
      <x:c r="C53" s="14" t="str">
        <x:v>2024-04-10</x:v>
      </x:c>
      <x:c r="D53" s="2"/>
      <x:c r="E53" s="2"/>
      <x:c r="F53" s="2"/>
      <x:c r="G53" s="2"/>
      <x:c r="H53" s="2"/>
      <x:c r="I53" s="2"/>
    </x:row>
    <x:row r="54" ht="43" customHeight="1">
      <x:c r="A54" s="14" t="str">
        <x:v>2024 Eid-ul-Adha</x:v>
      </x:c>
      <x:c r="B54" s="14" t="str">
        <x:v>https://www.app.com.pk/domestic/dhul-hijjah-crescent-sighted-eid-ul-adha-to-be-celebrated-on-june-17/</x:v>
      </x:c>
      <x:c r="C54" s="14" t="str">
        <x:v>2024-06-17</x:v>
      </x:c>
      <x:c r="D54" s="2"/>
      <x:c r="E54" s="2"/>
      <x:c r="F54" s="2"/>
      <x:c r="G54" s="2"/>
      <x:c r="H54" s="2"/>
      <x:c r="I54" s="2"/>
    </x:row>
    <x:row r="55" ht="43" customHeight="1">
      <x:c r="A55" s="14" t="str">
        <x:v>2025 Ramadan start</x:v>
      </x:c>
      <x:c r="B55" s="14" t="str">
        <x:v>https://www.radio.gov.pk/01-03-2025/holy-month-of-ramazan-commencing-in-pakistan-from-tomorrow</x:v>
      </x:c>
      <x:c r="C55" s="14" t="str">
        <x:v>First fast 2025-03-02</x:v>
      </x:c>
      <x:c r="D55" s="2"/>
      <x:c r="E55" s="2"/>
      <x:c r="F55" s="2"/>
      <x:c r="G55" s="2"/>
      <x:c r="H55" s="2"/>
      <x:c r="I55" s="2"/>
    </x:row>
    <x:row r="56" ht="43" customHeight="1">
      <x:c r="A56" s="14" t="str">
        <x:v>2025 Eid-ul-Fitr</x:v>
      </x:c>
      <x:c r="B56" s="14" t="str">
        <x:v>https://radio.gov.pk/30-03-2025/shawwal-moon-sighted-eid-to-be-celebrated-tomorrow</x:v>
      </x:c>
      <x:c r="C56" s="14" t="str">
        <x:v>2025-03-31</x:v>
      </x:c>
      <x:c r="D56" s="2"/>
      <x:c r="E56" s="2"/>
      <x:c r="F56" s="2"/>
      <x:c r="G56" s="2"/>
      <x:c r="H56" s="2"/>
      <x:c r="I56" s="2"/>
    </x:row>
    <x:row r="57" ht="43" customHeight="1">
      <x:c r="A57" s="14" t="str">
        <x:v>2025 Eid-ul-Adha</x:v>
      </x:c>
      <x:c r="B57" s="14" t="str">
        <x:v>https://www.radio.gov.pk/27-05-2025/crescent-not-sighted-eid-ul-azha-on-june-7</x:v>
      </x:c>
      <x:c r="C57" s="14" t="str">
        <x:v>2025-06-07</x:v>
      </x:c>
      <x:c r="D57" s="2"/>
      <x:c r="E57" s="2"/>
      <x:c r="F57" s="2"/>
      <x:c r="G57" s="2"/>
      <x:c r="H57" s="2"/>
      <x:c r="I57" s="2"/>
    </x:row>
    <x:row r="58" ht="43" customHeight="1">
      <x:c r="A58" s="14" t="str">
        <x:v>2026 Ramadan start</x:v>
      </x:c>
      <x:c r="B58" s="14" t="str">
        <x:v>https://www.app.com.pk/national/ramazan-moon-sighted-ist-fast-on-february-19-in-pakistan-khabeer-azad/</x:v>
      </x:c>
      <x:c r="C58" s="14" t="str">
        <x:v>First fast 2026-02-19</x:v>
      </x:c>
      <x:c r="D58" s="2"/>
      <x:c r="E58" s="2"/>
      <x:c r="F58" s="2"/>
      <x:c r="G58" s="2"/>
      <x:c r="H58" s="2"/>
      <x:c r="I58" s="2"/>
    </x:row>
    <x:row r="59" ht="43" customHeight="1">
      <x:c r="A59" s="14" t="str">
        <x:v>2026 Eid-ul-Fitr</x:v>
      </x:c>
      <x:c r="B59" s="14" t="str">
        <x:v>https://www.app.com.pk/national/eid-ul-fitr-on-saturday-as-shawwal-moon-not-sighted/</x:v>
      </x:c>
      <x:c r="C59" s="14" t="str">
        <x:v>2026-03-21</x:v>
      </x:c>
      <x:c r="D59" s="2"/>
      <x:c r="E59" s="2"/>
      <x:c r="F59" s="2"/>
      <x:c r="G59" s="2"/>
      <x:c r="H59" s="2"/>
      <x:c r="I59" s="2"/>
    </x:row>
    <x:row r="60" ht="43" customHeight="1">
      <x:c r="A60" s="14" t="str">
        <x:v>2026 Eid-ul-Adha</x:v>
      </x:c>
      <x:c r="B60" s="14" t="str">
        <x:v>https://www.radio.gov.pk/17-05-2026/moon-sighted-eid-ul-adha-to-be-celebrated-on-27-may</x:v>
      </x:c>
      <x:c r="C60" s="14" t="str">
        <x:v>2026-05-27</x:v>
      </x:c>
      <x:c r="D60" s="2"/>
      <x:c r="E60" s="2"/>
      <x:c r="F60" s="2"/>
      <x:c r="G60" s="2"/>
      <x:c r="H60" s="2"/>
      <x:c r="I60" s="2"/>
    </x:row>
    <x:row r="61" ht="43" customHeight="1">
      <x:c r="A61" s="14" t="str">
        <x:v>Assignment</x:v>
      </x:c>
      <x:c r="B61" s="14" t="str">
        <x:v>Portfolio Milestone 1.pdf, Sections 4.1–4.4 and 9</x:v>
      </x:c>
      <x:c r="C61" s="14" t="str">
        <x:v>Master synthesis prompt and 12-week chronological holdout</x:v>
      </x:c>
      <x:c r="D61" s="2"/>
      <x:c r="E61" s="2"/>
      <x:c r="F61" s="2"/>
      <x:c r="G61" s="2"/>
      <x:c r="H61" s="2"/>
      <x:c r="I61" s="2"/>
    </x:row>
    <x:row r="62" ht="43" customHeight="1">
      <x:c r="A62" s="14" t="str">
        <x:v>Recheck 05 Oct 2026</x:v>
      </x:c>
      <x:c r="B62" s="14" t="str">
        <x:v>MarketScreener FY2026 result and PSX MFL financials</x:v>
      </x:c>
      <x:c r="C62" s="14" t="str">
        <x:v>Reported group sales 23,846.71 million confirmed by search. Issuer PDF is scanned; primary consolidated text was not extracted.</x:v>
      </x:c>
      <x:c r="D62" s="2"/>
      <x:c r="E62" s="2"/>
      <x:c r="F62" s="2"/>
      <x:c r="G62" s="2"/>
      <x:c r="H62" s="2"/>
      <x:c r="I62" s="2"/>
    </x:row>
    <x:row r="63" ht="22" customHeight="1">
      <x:c r="A63" s="2"/>
      <x:c r="B63" s="2"/>
      <x:c r="C63" s="2"/>
      <x:c r="D63" s="2"/>
      <x:c r="E63" s="2"/>
      <x:c r="F63" s="2"/>
      <x:c r="G63" s="2"/>
      <x:c r="H63" s="2"/>
      <x:c r="I63" s="2"/>
    </x:row>
    <x:row r="64" ht="22" customHeight="1">
      <x:c r="A64" s="2"/>
      <x:c r="B64" s="2"/>
      <x:c r="C64" s="2"/>
      <x:c r="D64" s="2"/>
      <x:c r="E64" s="2"/>
      <x:c r="F64" s="2"/>
      <x:c r="G64" s="2"/>
      <x:c r="H64" s="2"/>
      <x:c r="I64" s="2"/>
    </x:row>
    <x:row r="65" ht="22" customHeight="1">
      <x:c r="A65" s="2"/>
      <x:c r="B65" s="2"/>
      <x:c r="C65" s="2"/>
      <x:c r="D65" s="2"/>
      <x:c r="E65" s="2"/>
      <x:c r="F65" s="2"/>
      <x:c r="G65" s="2"/>
      <x:c r="H65" s="2"/>
      <x:c r="I65" s="2"/>
    </x:row>
  </x:sheetData>
  <x:mergeCells>
    <x:mergeCell ref="A1:I2"/>
    <x:mergeCell ref="A6:C10"/>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30" hidden="0" customWidth="1"/>
  </x:cols>
  <x:sheetData>
    <x:row r="1" ht="22" customHeight="1">
      <x:c r="A1" s="5" t="str">
        <x:v>Company-Calibrated Synthetic Dataset for Academic Analysis — illustrative figures, calibrated to Matco Foods Limited's disclosed scale, not actual company records.</x:v>
      </x:c>
      <x:c r="B1" s="5"/>
      <x:c r="C1" s="5"/>
      <x:c r="D1" s="5"/>
      <x:c r="E1" s="5"/>
      <x:c r="F1" s="5"/>
      <x:c r="G1" s="5"/>
      <x:c r="H1" s="5"/>
      <x:c r="I1" s="5"/>
    </x:row>
    <x:row r="2" ht="22" customHeight="1">
      <x:c r="A2" s="5"/>
      <x:c r="B2" s="5"/>
      <x:c r="C2" s="5"/>
      <x:c r="D2" s="5"/>
      <x:c r="E2" s="5"/>
      <x:c r="F2" s="5"/>
      <x:c r="G2" s="5"/>
      <x:c r="H2" s="5"/>
      <x:c r="I2" s="5"/>
    </x:row>
    <x:row r="3" ht="22" customHeight="1">
      <x:c r="A3" s="2"/>
      <x:c r="B3" s="2"/>
      <x:c r="C3" s="2"/>
      <x:c r="D3" s="2"/>
      <x:c r="E3" s="2"/>
      <x:c r="F3" s="2"/>
      <x:c r="G3" s="2"/>
      <x:c r="H3" s="2"/>
      <x:c r="I3" s="2"/>
    </x:row>
    <x:row r="4" ht="22" customHeight="1">
      <x:c r="A4" s="13" t="str">
        <x:v>Section 4.2 synthesis prompt and agreed instructions</x:v>
      </x:c>
      <x:c r="B4" s="2"/>
      <x:c r="C4" s="2"/>
      <x:c r="D4" s="2"/>
      <x:c r="E4" s="2"/>
      <x:c r="F4" s="2"/>
      <x:c r="G4" s="2"/>
      <x:c r="H4" s="2"/>
      <x:c r="I4" s="2"/>
    </x:row>
    <x:row r="5" ht="22" customHeight="1">
      <x:c r="A5" s="2"/>
      <x:c r="B5" s="2"/>
      <x:c r="C5" s="2"/>
      <x:c r="D5" s="2"/>
      <x:c r="E5" s="2"/>
      <x:c r="F5" s="2"/>
      <x:c r="G5" s="2"/>
      <x:c r="H5" s="2"/>
      <x:c r="I5" s="2"/>
    </x:row>
    <x:row r="6" ht="32" customHeight="1">
      <x:c r="A6" s="14" t="str">
        <x:v>I am a BBA student in a Supply Chain Analytics course. I have selected Matco Foods Limited,</x:v>
      </x:c>
      <x:c r="B6" s="2"/>
      <x:c r="C6" s="2"/>
      <x:c r="D6" s="2"/>
      <x:c r="E6" s="2"/>
      <x:c r="F6" s="2"/>
      <x:c r="G6" s="2"/>
      <x:c r="H6" s="2"/>
      <x:c r="I6" s="2"/>
    </x:row>
    <x:row r="7" ht="32" customHeight="1">
      <x:c r="A7" s="14" t="str">
        <x:v>a company listed on the Pakistan Stock Exchange, as my company for a semester project.</x:v>
      </x:c>
      <x:c r="B7" s="2"/>
      <x:c r="C7" s="2"/>
      <x:c r="D7" s="2"/>
      <x:c r="E7" s="2"/>
      <x:c r="F7" s="2"/>
      <x:c r="G7" s="2"/>
      <x:c r="H7" s="2"/>
      <x:c r="I7" s="2"/>
    </x:row>
    <x:row r="8" ht="32" customHeight="1">
      <x:c r="A8" s="14" t="str">
        <x:v>I need you to generate a SYNTHETIC, illustrative weekly demand dataset for ONE of their</x:v>
      </x:c>
      <x:c r="B8" s="2"/>
      <x:c r="C8" s="2"/>
      <x:c r="D8" s="2"/>
      <x:c r="E8" s="2"/>
      <x:c r="F8" s="2"/>
      <x:c r="G8" s="2"/>
      <x:c r="H8" s="2"/>
      <x:c r="I8" s="2"/>
    </x:row>
    <x:row r="9" ht="32" customHeight="1">
      <x:c r="A9" s="14" t="str">
        <x:v>products, so I can practice forecasting, regression, and validation.</x:v>
      </x:c>
      <x:c r="B9" s="2"/>
      <x:c r="C9" s="2"/>
      <x:c r="D9" s="2"/>
      <x:c r="E9" s="2"/>
      <x:c r="F9" s="2"/>
      <x:c r="G9" s="2"/>
      <x:c r="H9" s="2"/>
      <x:c r="I9" s="2"/>
    </x:row>
    <x:row r="10" ht="32" customHeight="1">
      <x:c r="A10" s="14" t="str">
        <x:v>PRODUCT / FORECAST OBJECT: Falak Extreme Basmati Rice, 5 kg packs, Pakistan domestic retail</x:v>
      </x:c>
      <x:c r="B10" s="2"/>
      <x:c r="C10" s="2"/>
      <x:c r="D10" s="2"/>
      <x:c r="E10" s="2"/>
      <x:c r="F10" s="2"/>
      <x:c r="G10" s="2"/>
      <x:c r="H10" s="2"/>
      <x:c r="I10" s="2"/>
    </x:row>
    <x:row r="11" ht="32" customHeight="1">
      <x:c r="A11" s="14" t="str">
        <x:v>REAL CONTEXT TO CALIBRATE FROM (do not invent different real facts about the company):</x:v>
      </x:c>
      <x:c r="B11" s="2"/>
      <x:c r="C11" s="2"/>
      <x:c r="D11" s="2"/>
      <x:c r="E11" s="2"/>
      <x:c r="F11" s="2"/>
      <x:c r="G11" s="2"/>
      <x:c r="H11" s="2"/>
      <x:c r="I11" s="2"/>
    </x:row>
    <x:row r="12" ht="66" customHeight="1">
      <x:c r="A12" s="14" t="str">
        <x:v>- Company's most recently disclosed annual revenue: approximately PKR 23.84671 billion consolidated sales for the year ended June 30, 2026 (reported August 28, 2026)</x:v>
      </x:c>
      <x:c r="B12" s="2"/>
      <x:c r="C12" s="2"/>
      <x:c r="D12" s="2"/>
      <x:c r="E12" s="2"/>
      <x:c r="F12" s="2"/>
      <x:c r="G12" s="2"/>
      <x:c r="H12" s="2"/>
      <x:c r="I12" s="2"/>
    </x:row>
    <x:row r="13" ht="32" customHeight="1">
      <x:c r="A13" s="14" t="str">
        <x:v>- Broad industry/sector: Food processing / branded packaged rice (FMCG)</x:v>
      </x:c>
      <x:c r="B13" s="2"/>
      <x:c r="C13" s="2"/>
      <x:c r="D13" s="2"/>
      <x:c r="E13" s="2"/>
      <x:c r="F13" s="2"/>
      <x:c r="G13" s="2"/>
      <x:c r="H13" s="2"/>
      <x:c r="I13" s="2"/>
    </x:row>
    <x:row r="14" ht="32" customHeight="1">
      <x:c r="A14" s="14" t="str">
        <x:v>- Company's fiscal year-end: June 30</x:v>
      </x:c>
      <x:c r="B14" s="2"/>
      <x:c r="C14" s="2"/>
      <x:c r="D14" s="2"/>
      <x:c r="E14" s="2"/>
      <x:c r="F14" s="2"/>
      <x:c r="G14" s="2"/>
      <x:c r="H14" s="2"/>
      <x:c r="I14" s="2"/>
    </x:row>
    <x:row r="15" ht="32" customHeight="1">
      <x:c r="A15" s="14" t="str">
        <x:v>GENERATE 104 TO 156 WEEKLY OBSERVATIONS WITH THESE COLUMNS:</x:v>
      </x:c>
      <x:c r="B15" s="2"/>
      <x:c r="C15" s="2"/>
      <x:c r="D15" s="2"/>
      <x:c r="E15" s="2"/>
      <x:c r="F15" s="2"/>
      <x:c r="G15" s="2"/>
      <x:c r="H15" s="2"/>
      <x:c r="I15" s="2"/>
    </x:row>
    <x:row r="16" ht="32" customHeight="1">
      <x:c r="A16" s="14" t="str">
        <x:v>- Week_Start_Date (consistent weekly dates)</x:v>
      </x:c>
      <x:c r="B16" s="2"/>
      <x:c r="C16" s="2"/>
      <x:c r="D16" s="2"/>
      <x:c r="E16" s="2"/>
      <x:c r="F16" s="2"/>
      <x:c r="G16" s="2"/>
      <x:c r="H16" s="2"/>
      <x:c r="I16" s="2"/>
    </x:row>
    <x:row r="17" ht="32" customHeight="1">
      <x:c r="A17" s="14" t="str">
        <x:v>- Actual_Demand (units sold or ordered — this is the forecast target)</x:v>
      </x:c>
      <x:c r="B17" s="2"/>
      <x:c r="C17" s="2"/>
      <x:c r="D17" s="2"/>
      <x:c r="E17" s="2"/>
      <x:c r="F17" s="2"/>
      <x:c r="G17" s="2"/>
      <x:c r="H17" s="2"/>
      <x:c r="I17" s="2"/>
    </x:row>
    <x:row r="18" ht="32" customHeight="1">
      <x:c r="A18" s="14" t="str">
        <x:v>- Historical_Forecast (a plausible prior forecast series, for error-metric practice)</x:v>
      </x:c>
      <x:c r="B18" s="2"/>
      <x:c r="C18" s="2"/>
      <x:c r="D18" s="2"/>
      <x:c r="E18" s="2"/>
      <x:c r="F18" s="2"/>
      <x:c r="G18" s="2"/>
      <x:c r="H18" s="2"/>
      <x:c r="I18" s="2"/>
    </x:row>
    <x:row r="19" ht="32" customHeight="1">
      <x:c r="A19" s="14" t="str">
        <x:v>- Price (numeric, varying over time — not flat)</x:v>
      </x:c>
      <x:c r="B19" s="2"/>
      <x:c r="C19" s="2"/>
      <x:c r="D19" s="2"/>
      <x:c r="E19" s="2"/>
      <x:c r="F19" s="2"/>
      <x:c r="G19" s="2"/>
      <x:c r="H19" s="2"/>
      <x:c r="I19" s="2"/>
    </x:row>
    <x:row r="20" ht="32" customHeight="1">
      <x:c r="A20" s="14" t="str">
        <x:v>- Promo_Flag (0/1) and Promo_Depth (% discount when active)</x:v>
      </x:c>
      <x:c r="B20" s="2"/>
      <x:c r="C20" s="2"/>
      <x:c r="D20" s="2"/>
      <x:c r="E20" s="2"/>
      <x:c r="F20" s="2"/>
      <x:c r="G20" s="2"/>
      <x:c r="H20" s="2"/>
      <x:c r="I20" s="2"/>
    </x:row>
    <x:row r="21" ht="32" customHeight="1">
      <x:c r="A21" s="14" t="str">
        <x:v>- Event_Flag (0/1) tagged to a calendar event appropriate to my sector — for FMCG or</x:v>
      </x:c>
      <x:c r="B21" s="2"/>
      <x:c r="C21" s="2"/>
      <x:c r="D21" s="2"/>
      <x:c r="E21" s="2"/>
      <x:c r="F21" s="2"/>
      <x:c r="G21" s="2"/>
      <x:c r="H21" s="2"/>
      <x:c r="I21" s="2"/>
    </x:row>
    <x:row r="22" ht="32" customHeight="1">
      <x:c r="A22" s="14" t="str">
        <x:v>food, use Ramadan/Eid; for fashion, use a seasonal launch/markdown window; for</x:v>
      </x:c>
      <x:c r="B22" s="2"/>
      <x:c r="C22" s="2"/>
      <x:c r="D22" s="2"/>
      <x:c r="E22" s="2"/>
      <x:c r="F22" s="2"/>
      <x:c r="G22" s="2"/>
      <x:c r="H22" s="2"/>
      <x:c r="I22" s="2"/>
    </x:row>
    <x:row r="23" ht="32" customHeight="1">
      <x:c r="A23" s="14" t="str">
        <x:v>cement/construction, use the spring-summer building season; for pharma, use a</x:v>
      </x:c>
      <x:c r="B23" s="2"/>
      <x:c r="C23" s="2"/>
      <x:c r="D23" s="2"/>
      <x:c r="E23" s="2"/>
      <x:c r="F23" s="2"/>
      <x:c r="G23" s="2"/>
      <x:c r="H23" s="2"/>
      <x:c r="I23" s="2"/>
    </x:row>
    <x:row r="24" ht="32" customHeight="1">
      <x:c r="A24" s="14" t="str">
        <x:v>disease-season or regulatory-driven spike; choose the closest fit for my sector</x:v>
      </x:c>
      <x:c r="B24" s="2"/>
      <x:c r="C24" s="2"/>
      <x:c r="D24" s="2"/>
      <x:c r="E24" s="2"/>
      <x:c r="F24" s="2"/>
      <x:c r="G24" s="2"/>
      <x:c r="H24" s="2"/>
      <x:c r="I24" s="2"/>
    </x:row>
    <x:row r="25" ht="32" customHeight="1">
      <x:c r="A25" s="14" t="str">
        <x:v>- One additional driver relevant to my sector: Temperature, Distribution_Points,</x:v>
      </x:c>
      <x:c r="B25" s="2"/>
      <x:c r="C25" s="2"/>
      <x:c r="D25" s="2"/>
      <x:c r="E25" s="2"/>
      <x:c r="F25" s="2"/>
      <x:c r="G25" s="2"/>
      <x:c r="H25" s="2"/>
      <x:c r="I25" s="2"/>
    </x:row>
    <x:row r="26" ht="32" customHeight="1">
      <x:c r="A26" s="14" t="str">
        <x:v>Marketing_Spend, Competitor_Activity, or Economic_Index — pick the most plausible one</x:v>
      </x:c>
      <x:c r="B26" s="2"/>
      <x:c r="C26" s="2"/>
      <x:c r="D26" s="2"/>
      <x:c r="E26" s="2"/>
      <x:c r="F26" s="2"/>
      <x:c r="G26" s="2"/>
      <x:c r="H26" s="2"/>
      <x:c r="I26" s="2"/>
    </x:row>
    <x:row r="27" ht="32" customHeight="1">
      <x:c r="A27" s="14" t="str">
        <x:v>and justify your choice in one sentence</x:v>
      </x:c>
      <x:c r="B27" s="2"/>
      <x:c r="C27" s="2"/>
      <x:c r="D27" s="2"/>
      <x:c r="E27" s="2"/>
      <x:c r="F27" s="2"/>
      <x:c r="G27" s="2"/>
      <x:c r="H27" s="2"/>
      <x:c r="I27" s="2"/>
    </x:row>
    <x:row r="28" ht="32" customHeight="1">
      <x:c r="A28" s="14" t="str">
        <x:v>- Stockout_Flag (0/1) for weeks where availability constrained real demand</x:v>
      </x:c>
      <x:c r="B28" s="2"/>
      <x:c r="C28" s="2"/>
      <x:c r="D28" s="2"/>
      <x:c r="E28" s="2"/>
      <x:c r="F28" s="2"/>
      <x:c r="G28" s="2"/>
      <x:c r="H28" s="2"/>
      <x:c r="I28" s="2"/>
    </x:row>
    <x:row r="29" ht="32" customHeight="1">
      <x:c r="A29" s="14" t="str">
        <x:v>- Exceptional_Event (text, blank in most weeks) — flag 2 to 4 one-off shocks such as a</x:v>
      </x:c>
      <x:c r="B29" s="2"/>
      <x:c r="C29" s="2"/>
      <x:c r="D29" s="2"/>
      <x:c r="E29" s="2"/>
      <x:c r="F29" s="2"/>
      <x:c r="G29" s="2"/>
      <x:c r="H29" s="2"/>
      <x:c r="I29" s="2"/>
    </x:row>
    <x:row r="30" ht="32" customHeight="1">
      <x:c r="A30" s="14" t="str">
        <x:v>competitor promotion, a supply disruption, a weather event, or a viral marketing moment</x:v>
      </x:c>
      <x:c r="B30" s="2"/>
      <x:c r="C30" s="2"/>
      <x:c r="D30" s="2"/>
      <x:c r="E30" s="2"/>
      <x:c r="F30" s="2"/>
      <x:c r="G30" s="2"/>
      <x:c r="H30" s="2"/>
      <x:c r="I30" s="2"/>
    </x:row>
    <x:row r="31" ht="32" customHeight="1">
      <x:c r="A31" s="14" t="str">
        <x:v>THE DATA MUST HAVE THESE REALISTIC CHARACTERISTICS, NOT RANDOM NOISE:</x:v>
      </x:c>
      <x:c r="B31" s="2"/>
      <x:c r="C31" s="2"/>
      <x:c r="D31" s="2"/>
      <x:c r="E31" s="2"/>
      <x:c r="F31" s="2"/>
      <x:c r="G31" s="2"/>
      <x:c r="H31" s="2"/>
      <x:c r="I31" s="2"/>
    </x:row>
    <x:row r="32" ht="32" customHeight="1">
      <x:c r="A32" s="14" t="str">
        <x:v>1. A believable base LEVEL and TREND (growing, flat, or declining) appropriate to the</x:v>
      </x:c>
      <x:c r="B32" s="2"/>
      <x:c r="C32" s="2"/>
      <x:c r="D32" s="2"/>
      <x:c r="E32" s="2"/>
      <x:c r="F32" s="2"/>
      <x:c r="G32" s="2"/>
      <x:c r="H32" s="2"/>
      <x:c r="I32" s="2"/>
    </x:row>
    <x:row r="33" ht="32" customHeight="1">
      <x:c r="A33" s="14" t="str">
        <x:v>sector — state your reasoning in one sentence</x:v>
      </x:c>
      <x:c r="B33" s="2"/>
      <x:c r="C33" s="2"/>
      <x:c r="D33" s="2"/>
      <x:c r="E33" s="2"/>
      <x:c r="F33" s="2"/>
      <x:c r="G33" s="2"/>
      <x:c r="H33" s="2"/>
      <x:c r="I33" s="2"/>
    </x:row>
    <x:row r="34" ht="32" customHeight="1">
      <x:c r="A34" s="14" t="str">
        <x:v>2. SEASONALITY appropriate to the sector, as specified above for Event_Flag</x:v>
      </x:c>
      <x:c r="B34" s="2"/>
      <x:c r="C34" s="2"/>
      <x:c r="D34" s="2"/>
      <x:c r="E34" s="2"/>
      <x:c r="F34" s="2"/>
      <x:c r="G34" s="2"/>
      <x:c r="H34" s="2"/>
      <x:c r="I34" s="2"/>
    </x:row>
    <x:row r="35" ht="32" customHeight="1">
      <x:c r="A35" s="14" t="str">
        <x:v>3. A PRICE effect: weeks with higher price should show a modest, imperfect demand</x:v>
      </x:c>
      <x:c r="B35" s="2"/>
      <x:c r="C35" s="2"/>
      <x:c r="D35" s="2"/>
      <x:c r="E35" s="2"/>
      <x:c r="F35" s="2"/>
      <x:c r="G35" s="2"/>
      <x:c r="H35" s="2"/>
      <x:c r="I35" s="2"/>
    </x:row>
    <x:row r="36" ht="32" customHeight="1">
      <x:c r="A36" s="14" t="str">
        <x:v>reduction — not a mechanical, identical relationship every time</x:v>
      </x:c>
      <x:c r="B36" s="2"/>
      <x:c r="C36" s="2"/>
      <x:c r="D36" s="2"/>
      <x:c r="E36" s="2"/>
      <x:c r="F36" s="2"/>
      <x:c r="G36" s="2"/>
      <x:c r="H36" s="2"/>
      <x:c r="I36" s="2"/>
    </x:row>
    <x:row r="37" ht="32" customHeight="1">
      <x:c r="A37" s="14" t="str">
        <x:v>4. A PROMOTION effect: promotional weeks should show a visible demand lift (10-40%</x:v>
      </x:c>
      <x:c r="B37" s="2"/>
      <x:c r="C37" s="2"/>
      <x:c r="D37" s="2"/>
      <x:c r="E37" s="2"/>
      <x:c r="F37" s="2"/>
      <x:c r="G37" s="2"/>
      <x:c r="H37" s="2"/>
      <x:c r="I37" s="2"/>
    </x:row>
    <x:row r="38" ht="32" customHeight="1">
      <x:c r="A38" s="14" t="str">
        <x:v>above baseline), varying in size week to week — not the exact same lift every time</x:v>
      </x:c>
      <x:c r="B38" s="2"/>
      <x:c r="C38" s="2"/>
      <x:c r="D38" s="2"/>
      <x:c r="E38" s="2"/>
      <x:c r="F38" s="2"/>
      <x:c r="G38" s="2"/>
      <x:c r="H38" s="2"/>
      <x:c r="I38" s="2"/>
    </x:row>
    <x:row r="39" ht="32" customHeight="1">
      <x:c r="A39" s="14" t="str">
        <x:v>5. Natural WEEK-TO-WEEK NOISE — real demand is never a smooth curve</x:v>
      </x:c>
      <x:c r="B39" s="2"/>
      <x:c r="C39" s="2"/>
      <x:c r="D39" s="2"/>
      <x:c r="E39" s="2"/>
      <x:c r="F39" s="2"/>
      <x:c r="G39" s="2"/>
      <x:c r="H39" s="2"/>
      <x:c r="I39" s="2"/>
    </x:row>
    <x:row r="40" ht="32" customHeight="1">
      <x:c r="A40" s="14" t="str">
        <x:v>6. The 2-4 EXCEPTIONAL EVENTS should each visibly disrupt demand for 1-2 weeks, then</x:v>
      </x:c>
      <x:c r="B40" s="2"/>
      <x:c r="C40" s="2"/>
      <x:c r="D40" s="2"/>
      <x:c r="E40" s="2"/>
      <x:c r="F40" s="2"/>
      <x:c r="G40" s="2"/>
      <x:c r="H40" s="2"/>
      <x:c r="I40" s="2"/>
    </x:row>
    <x:row r="41" ht="32" customHeight="1">
      <x:c r="A41" s="14" t="str">
        <x:v>the series should return to its normal pattern</x:v>
      </x:c>
      <x:c r="B41" s="2"/>
      <x:c r="C41" s="2"/>
      <x:c r="D41" s="2"/>
      <x:c r="E41" s="2"/>
      <x:c r="F41" s="2"/>
      <x:c r="G41" s="2"/>
      <x:c r="H41" s="2"/>
      <x:c r="I41" s="2"/>
    </x:row>
    <x:row r="42" ht="32" customHeight="1">
      <x:c r="A42" s="14" t="str">
        <x:v>7. Ensure NO relationship is deterministic. A promotion must not increase demand by</x:v>
      </x:c>
      <x:c r="B42" s="2"/>
      <x:c r="C42" s="2"/>
      <x:c r="D42" s="2"/>
      <x:c r="E42" s="2"/>
      <x:c r="F42" s="2"/>
      <x:c r="G42" s="2"/>
      <x:c r="H42" s="2"/>
      <x:c r="I42" s="2"/>
    </x:row>
    <x:row r="43" ht="32" customHeight="1">
      <x:c r="A43" s="14" t="str">
        <x:v>exactly the same amount every single time it runs.</x:v>
      </x:c>
      <x:c r="B43" s="2"/>
      <x:c r="C43" s="2"/>
      <x:c r="D43" s="2"/>
      <x:c r="E43" s="2"/>
      <x:c r="F43" s="2"/>
      <x:c r="G43" s="2"/>
      <x:c r="H43" s="2"/>
      <x:c r="I43" s="2"/>
    </x:row>
    <x:row r="44" ht="32" customHeight="1">
      <x:c r="A44" s="14" t="str">
        <x:v>AFTER THE TABLE, WRITE:</x:v>
      </x:c>
      <x:c r="B44" s="2"/>
      <x:c r="C44" s="2"/>
      <x:c r="D44" s="2"/>
      <x:c r="E44" s="2"/>
      <x:c r="F44" s="2"/>
      <x:c r="G44" s="2"/>
      <x:c r="H44" s="2"/>
      <x:c r="I44" s="2"/>
    </x:row>
    <x:row r="45" ht="32" customHeight="1">
      <x:c r="A45" s="14" t="str">
        <x:v>1. A short "Assumptions" paragraph (5-7 sentences) explaining the starting demand level,</x:v>
      </x:c>
      <x:c r="B45" s="2"/>
      <x:c r="C45" s="2"/>
      <x:c r="D45" s="2"/>
      <x:c r="E45" s="2"/>
      <x:c r="F45" s="2"/>
      <x:c r="G45" s="2"/>
      <x:c r="H45" s="2"/>
      <x:c r="I45" s="2"/>
    </x:row>
    <x:row r="46" ht="32" customHeight="1">
      <x:c r="A46" s="14" t="str">
        <x:v>the trend, the seasonal pattern, the price and promotion effect sizes you built in,</x:v>
      </x:c>
      <x:c r="B46" s="2"/>
      <x:c r="C46" s="2"/>
      <x:c r="D46" s="2"/>
      <x:c r="E46" s="2"/>
      <x:c r="F46" s="2"/>
      <x:c r="G46" s="2"/>
      <x:c r="H46" s="2"/>
      <x:c r="I46" s="2"/>
    </x:row>
    <x:row r="47" ht="32" customHeight="1">
      <x:c r="A47" s="14" t="str">
        <x:v>the additional driver you chose and why, and what this dataset does NOT capture.</x:v>
      </x:c>
      <x:c r="B47" s="2"/>
      <x:c r="C47" s="2"/>
      <x:c r="D47" s="2"/>
      <x:c r="E47" s="2"/>
      <x:c r="F47" s="2"/>
      <x:c r="G47" s="2"/>
      <x:c r="H47" s="2"/>
      <x:c r="I47" s="2"/>
    </x:row>
    <x:row r="48" ht="32" customHeight="1">
      <x:c r="A48" s="14" t="str">
        <x:v>2. A Data Dictionary table: Field | Definition | Unit | Real / Assumed / Synthetic |</x:v>
      </x:c>
      <x:c r="B48" s="2"/>
      <x:c r="C48" s="2"/>
      <x:c r="D48" s="2"/>
      <x:c r="E48" s="2"/>
      <x:c r="F48" s="2"/>
      <x:c r="G48" s="2"/>
      <x:c r="H48" s="2"/>
      <x:c r="I48" s="2"/>
    </x:row>
    <x:row r="49" ht="32" customHeight="1">
      <x:c r="A49" s="14" t="str">
        <x:v>Why Included.</x:v>
      </x:c>
      <x:c r="B49" s="2"/>
      <x:c r="C49" s="2"/>
      <x:c r="D49" s="2"/>
      <x:c r="E49" s="2"/>
      <x:c r="F49" s="2"/>
      <x:c r="G49" s="2"/>
      <x:c r="H49" s="2"/>
      <x:c r="I49" s="2"/>
    </x:row>
    <x:row r="50" ht="32" customHeight="1">
      <x:c r="A50" s="14" t="str">
        <x:v>OUTPUT the data as a table I can copy directly into Excel or a CSV file.</x:v>
      </x:c>
      <x:c r="B50" s="2"/>
      <x:c r="C50" s="2"/>
      <x:c r="D50" s="2"/>
      <x:c r="E50" s="2"/>
      <x:c r="F50" s="2"/>
      <x:c r="G50" s="2"/>
      <x:c r="H50" s="2"/>
      <x:c r="I50" s="2"/>
    </x:row>
    <x:row r="51" ht="32" customHeight="1">
      <x:c r="A51" s="14" t="str">
        <x:v>MANDATORY LABELING — include this exact sentence at the very top of your response,</x:v>
      </x:c>
      <x:c r="B51" s="2"/>
      <x:c r="C51" s="2"/>
      <x:c r="D51" s="2"/>
      <x:c r="E51" s="2"/>
      <x:c r="F51" s="2"/>
      <x:c r="G51" s="2"/>
      <x:c r="H51" s="2"/>
      <x:c r="I51" s="2"/>
    </x:row>
    <x:row r="52" ht="32" customHeight="1">
      <x:c r="A52" s="14" t="str">
        <x:v>before anything else:</x:v>
      </x:c>
      <x:c r="B52" s="2"/>
      <x:c r="C52" s="2"/>
      <x:c r="D52" s="2"/>
      <x:c r="E52" s="2"/>
      <x:c r="F52" s="2"/>
      <x:c r="G52" s="2"/>
      <x:c r="H52" s="2"/>
      <x:c r="I52" s="2"/>
    </x:row>
    <x:row r="53" ht="32" customHeight="1">
      <x:c r="A53" s="14" t="str">
        <x:v>"Company-Calibrated Synthetic Dataset for Academic Analysis — illustrative figures,</x:v>
      </x:c>
      <x:c r="B53" s="2"/>
      <x:c r="C53" s="2"/>
      <x:c r="D53" s="2"/>
      <x:c r="E53" s="2"/>
      <x:c r="F53" s="2"/>
      <x:c r="G53" s="2"/>
      <x:c r="H53" s="2"/>
      <x:c r="I53" s="2"/>
    </x:row>
    <x:row r="54" ht="32" customHeight="1">
      <x:c r="A54" s="14" t="str">
        <x:v>calibrated to Matco Foods Limited's disclosed scale, not actual company records."</x:v>
      </x:c>
      <x:c r="B54" s="2"/>
      <x:c r="C54" s="2"/>
      <x:c r="D54" s="2"/>
      <x:c r="E54" s="2"/>
      <x:c r="F54" s="2"/>
      <x:c r="G54" s="2"/>
      <x:c r="H54" s="2"/>
      <x:c r="I54" s="2"/>
    </x:row>
    <x:row r="55" ht="32" customHeight="1">
      <x:c r="A55" s="14" t="str">
        <x:v> </x:v>
      </x:c>
      <x:c r="B55" s="2"/>
      <x:c r="C55" s="2"/>
      <x:c r="D55" s="2"/>
      <x:c r="E55" s="2"/>
      <x:c r="F55" s="2"/>
      <x:c r="G55" s="2"/>
      <x:c r="H55" s="2"/>
      <x:c r="I55" s="2"/>
    </x:row>
    <x:row r="56" ht="32" customHeight="1">
      <x:c r="A56" s="14" t="str">
        <x:v>ADDITIONAL PRODUCT-SPECIFIC INSTRUCTIONS AND AGREED ASSUMPTIONS</x:v>
      </x:c>
      <x:c r="B56" s="2"/>
      <x:c r="C56" s="2"/>
      <x:c r="D56" s="2"/>
      <x:c r="E56" s="2"/>
      <x:c r="F56" s="2"/>
      <x:c r="G56" s="2"/>
      <x:c r="H56" s="2"/>
      <x:c r="I56" s="2"/>
    </x:row>
    <x:row r="57" ht="66" customHeight="1">
      <x:c r="A57" s="14" t="str">
        <x:v>Generate exactly 156 Monday-start weeks from 2023-10-02 to 2026-09-21. One unit is one 5 kg pack. Use 5,000 baseline weekly packs as an assumption, justified by 1,000 assumed outlets selling five packs each.</x:v>
      </x:c>
      <x:c r="B57" s="2"/>
      <x:c r="C57" s="2"/>
      <x:c r="D57" s="2"/>
      <x:c r="E57" s="2"/>
      <x:c r="F57" s="2"/>
      <x:c r="G57" s="2"/>
      <x:c r="H57" s="2"/>
      <x:c r="I57" s="2"/>
    </x:row>
    <x:row r="58" ht="66" customHeight="1">
      <x:c r="A58" s="14" t="str">
        <x:v>Choose Distribution_Points as the additional driver: wider retail availability can support higher total pack sales. Include Product_or_Category, Market_Channel, Event_Name and Data_Split so product, scope, calendar labels and the validation split are explicit.</x:v>
      </x:c>
      <x:c r="B58" s="2"/>
      <x:c r="C58" s="2"/>
      <x:c r="D58" s="2"/>
      <x:c r="E58" s="2"/>
      <x:c r="F58" s="2"/>
      <x:c r="G58" s="2"/>
      <x:c r="H58" s="2"/>
      <x:c r="I58" s="2"/>
    </x:row>
    <x:row r="59" ht="66" customHeight="1">
      <x:c r="A59" s="14" t="str">
        <x:v>Use the documented Pakistan Ramadan/Eid dates and aggregate daily shopping windows to weeks. Use short stocking/Eid peaks and a smaller middle-Ramadan lift. Do not use an arbitrary fixed week each year.</x:v>
      </x:c>
      <x:c r="B59" s="2"/>
      <x:c r="C59" s="2"/>
      <x:c r="D59" s="2"/>
      <x:c r="E59" s="2"/>
      <x:c r="F59" s="2"/>
      <x:c r="G59" s="2"/>
      <x:c r="H59" s="2"/>
      <x:c r="I59" s="2"/>
    </x:row>
    <x:row r="60" ht="66" customHeight="1">
      <x:c r="A60" s="14" t="str">
        <x:v>Define Price as regular shelf price before promotional discount. The historical price path is assumed, anchored to the current official regular price of PKR 2,865 and offer price of PKR 2,800. Store Promo_Depth as a fraction: 0.10 = 10%.</x:v>
      </x:c>
      <x:c r="B60" s="2"/>
      <x:c r="C60" s="2"/>
      <x:c r="D60" s="2"/>
      <x:c r="E60" s="2"/>
      <x:c r="F60" s="2"/>
      <x:c r="G60" s="2"/>
      <x:c r="H60" s="2"/>
      <x:c r="I60" s="2"/>
    </x:row>
    <x:row r="61" ht="66" customHeight="1">
      <x:c r="A61" s="14" t="str">
        <x:v>Use a modest 2% annual underlying trend, stepwise outlet expansion, 36 promotional weeks with 5–12% discounts, imperfect 10–40% promotion lifts and about 7.5% ordinary noise. Allow observed net effects to differ because other drivers and stockouts can mask uplift.</x:v>
      </x:c>
      <x:c r="B61" s="2"/>
      <x:c r="C61" s="2"/>
      <x:c r="D61" s="2"/>
      <x:c r="E61" s="2"/>
      <x:c r="F61" s="2"/>
      <x:c r="G61" s="2"/>
      <x:c r="H61" s="2"/>
      <x:c r="I61" s="2"/>
    </x:row>
    <x:row r="62" ht="66" customHeight="1">
      <x:c r="A62" s="14" t="str">
        <x:v>Create four labelled two-week illustrative shocks: competitor discounts, retailer displays, packaging delay and transport disruption. Mark supply-constrained weeks with Stockout_Flag. Never present these as actual Matco events.</x:v>
      </x:c>
      <x:c r="B62" s="2"/>
      <x:c r="C62" s="2"/>
      <x:c r="D62" s="2"/>
      <x:c r="E62" s="2"/>
      <x:c r="F62" s="2"/>
      <x:c r="G62" s="2"/>
      <x:c r="H62" s="2"/>
      <x:c r="I62" s="2"/>
    </x:row>
    <x:row r="63" ht="66" customHeight="1">
      <x:c r="A63" s="14" t="str">
        <x:v>Historical_Forecast must be a plausible prior planning series that uses no current or future Actual_Demand. Label the first 144 weeks Train and final 12 Holdout; do not fit forecasting models yet.</x:v>
      </x:c>
      <x:c r="B63" s="2"/>
      <x:c r="C63" s="2"/>
      <x:c r="D63" s="2"/>
      <x:c r="E63" s="2"/>
      <x:c r="F63" s="2"/>
      <x:c r="G63" s="2"/>
      <x:c r="H63" s="2"/>
      <x:c r="I63" s="2"/>
    </x:row>
    <x:row r="64" ht="66" customHeight="1">
      <x:c r="A64" s="14" t="str">
        <x:v>Attach the mandatory disclosure as Dataset_Label to every CSV record. Freeze the output before model comparison. Record the random seed and a CSV hash. The company revenue is a scale benchmark only, and it cannot establish actual SKU demand or company net revenue from retail value.</x:v>
      </x:c>
      <x:c r="B64" s="2"/>
      <x:c r="C64" s="2"/>
      <x:c r="D64" s="2"/>
      <x:c r="E64" s="2"/>
      <x:c r="F64" s="2"/>
      <x:c r="G64" s="2"/>
      <x:c r="H64" s="2"/>
      <x:c r="I64" s="2"/>
    </x:row>
    <x:row r="65" ht="22" customHeight="1">
      <x:c r="A65" s="2"/>
      <x:c r="B65" s="2"/>
      <x:c r="C65" s="2"/>
      <x:c r="D65" s="2"/>
      <x:c r="E65" s="2"/>
      <x:c r="F65" s="2"/>
      <x:c r="G65" s="2"/>
      <x:c r="H65" s="2"/>
      <x:c r="I65" s="2"/>
    </x:row>
    <x:row r="66" ht="22" customHeight="1">
      <x:c r="A66" s="2"/>
      <x:c r="B66" s="2"/>
      <x:c r="C66" s="2"/>
      <x:c r="D66" s="2"/>
      <x:c r="E66" s="2"/>
      <x:c r="F66" s="2"/>
      <x:c r="G66" s="2"/>
      <x:c r="H66" s="2"/>
      <x:c r="I66" s="2"/>
    </x:row>
    <x:row r="67" ht="22" customHeight="1">
      <x:c r="A67" s="2"/>
      <x:c r="B67" s="2"/>
      <x:c r="C67" s="2"/>
      <x:c r="D67" s="2"/>
      <x:c r="E67" s="2"/>
      <x:c r="F67" s="2"/>
      <x:c r="G67" s="2"/>
      <x:c r="H67" s="2"/>
      <x:c r="I67" s="2"/>
    </x:row>
    <x:row r="68" ht="22" customHeight="1">
      <x:c r="A68" s="2"/>
      <x:c r="B68" s="2"/>
      <x:c r="C68" s="2"/>
      <x:c r="D68" s="2"/>
      <x:c r="E68" s="2"/>
      <x:c r="F68" s="2"/>
      <x:c r="G68" s="2"/>
      <x:c r="H68" s="2"/>
      <x:c r="I68" s="2"/>
    </x:row>
    <x:row r="69" ht="22" customHeight="1">
      <x:c r="A69" s="2"/>
      <x:c r="B69" s="2"/>
      <x:c r="C69" s="2"/>
      <x:c r="D69" s="2"/>
      <x:c r="E69" s="2"/>
      <x:c r="F69" s="2"/>
      <x:c r="G69" s="2"/>
      <x:c r="H69" s="2"/>
      <x:c r="I69" s="2"/>
    </x:row>
    <x:row r="70" ht="22" customHeight="1">
      <x:c r="A70" s="2"/>
      <x:c r="B70" s="2"/>
      <x:c r="C70" s="2"/>
      <x:c r="D70" s="2"/>
      <x:c r="E70" s="2"/>
      <x:c r="F70" s="2"/>
      <x:c r="G70" s="2"/>
      <x:c r="H70" s="2"/>
      <x:c r="I70" s="2"/>
    </x:row>
    <x:row r="71" ht="22" customHeight="1">
      <x:c r="A71" s="2"/>
      <x:c r="B71" s="2"/>
      <x:c r="C71" s="2"/>
      <x:c r="D71" s="2"/>
      <x:c r="E71" s="2"/>
      <x:c r="F71" s="2"/>
      <x:c r="G71" s="2"/>
      <x:c r="H71" s="2"/>
      <x:c r="I71" s="2"/>
    </x:row>
    <x:row r="72" ht="22" customHeight="1">
      <x:c r="A72" s="2"/>
      <x:c r="B72" s="2"/>
      <x:c r="C72" s="2"/>
      <x:c r="D72" s="2"/>
      <x:c r="E72" s="2"/>
      <x:c r="F72" s="2"/>
      <x:c r="G72" s="2"/>
      <x:c r="H72" s="2"/>
      <x:c r="I72" s="2"/>
    </x:row>
    <x:row r="73" ht="22" customHeight="1">
      <x:c r="A73" s="2"/>
      <x:c r="B73" s="2"/>
      <x:c r="C73" s="2"/>
      <x:c r="D73" s="2"/>
      <x:c r="E73" s="2"/>
      <x:c r="F73" s="2"/>
      <x:c r="G73" s="2"/>
      <x:c r="H73" s="2"/>
      <x:c r="I73" s="2"/>
    </x:row>
    <x:row r="74" ht="22" customHeight="1">
      <x:c r="A74" s="2"/>
      <x:c r="B74" s="2"/>
      <x:c r="C74" s="2"/>
      <x:c r="D74" s="2"/>
      <x:c r="E74" s="2"/>
      <x:c r="F74" s="2"/>
      <x:c r="G74" s="2"/>
      <x:c r="H74" s="2"/>
      <x:c r="I74" s="2"/>
    </x:row>
    <x:row r="75" ht="22" customHeight="1">
      <x:c r="A75" s="2"/>
      <x:c r="B75" s="2"/>
      <x:c r="C75" s="2"/>
      <x:c r="D75" s="2"/>
      <x:c r="E75" s="2"/>
      <x:c r="F75" s="2"/>
      <x:c r="G75" s="2"/>
      <x:c r="H75" s="2"/>
      <x:c r="I75" s="2"/>
    </x:row>
  </x:sheetData>
  <x:mergeCells>
    <x:mergeCell ref="A1:I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9"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45" hidden="0" customWidth="1"/>
  </x:cols>
  <x:sheetData>
    <x:row r="1" ht="22" customHeight="1">
      <x:c r="A1" s="5" t="str">
        <x:v>Company-Calibrated Synthetic Dataset for Academic Analysis — illustrative figures, calibrated to Matco Foods Limited's disclosed scale, not actual company records.</x:v>
      </x:c>
      <x:c r="B1" s="5"/>
      <x:c r="C1" s="5"/>
      <x:c r="D1" s="5"/>
      <x:c r="E1" s="5"/>
      <x:c r="F1" s="5"/>
      <x:c r="G1" s="5"/>
      <x:c r="H1" s="5"/>
      <x:c r="I1" s="5"/>
    </x:row>
    <x:row r="2" ht="22" customHeight="1">
      <x:c r="A2" s="5"/>
      <x:c r="B2" s="5"/>
      <x:c r="C2" s="5"/>
      <x:c r="D2" s="5"/>
      <x:c r="E2" s="5"/>
      <x:c r="F2" s="5"/>
      <x:c r="G2" s="5"/>
      <x:c r="H2" s="5"/>
      <x:c r="I2" s="5"/>
    </x:row>
    <x:row r="3" ht="22" customHeight="1">
      <x:c r="A3" s="2"/>
      <x:c r="B3" s="2"/>
      <x:c r="C3" s="2"/>
      <x:c r="D3" s="2"/>
      <x:c r="E3" s="2"/>
      <x:c r="F3" s="2"/>
      <x:c r="G3" s="2"/>
      <x:c r="H3" s="2"/>
      <x:c r="I3" s="2"/>
    </x:row>
    <x:row r="4" ht="22" customHeight="1">
      <x:c r="A4" s="13" t="str">
        <x:v>Independent Excel verification of three holdout metrics</x:v>
      </x:c>
      <x:c r="B4" s="2"/>
      <x:c r="C4" s="2"/>
      <x:c r="D4" s="2"/>
      <x:c r="E4" s="2"/>
      <x:c r="F4" s="2"/>
      <x:c r="G4" s="2"/>
      <x:c r="H4" s="2"/>
      <x:c r="I4" s="2"/>
    </x:row>
    <x:row r="5" ht="22" customHeight="1">
      <x:c r="A5" s="2"/>
      <x:c r="B5" s="2"/>
      <x:c r="C5" s="2"/>
      <x:c r="D5" s="2"/>
      <x:c r="E5" s="2"/>
      <x:c r="F5" s="2"/>
      <x:c r="G5" s="2"/>
      <x:c r="H5" s="2"/>
      <x:c r="I5" s="2"/>
    </x:row>
    <x:row r="6" ht="22" customHeight="1">
      <x:c r="A6" s="15" t="str">
        <x:v>SMA4 is recursively calculated from the last four TRAINING actuals in rows 146:149. Only predicted values enter later forecasts. Actual holdout sales enter the error columns after forecasting. All 12 weeks, including stockouts, are scored.</x:v>
      </x:c>
      <x:c r="B6" s="15"/>
      <x:c r="C6" s="15"/>
      <x:c r="D6" s="15"/>
      <x:c r="E6" s="15"/>
      <x:c r="F6" s="15"/>
      <x:c r="G6" s="15"/>
      <x:c r="H6" s="15"/>
      <x:c r="I6" s="15"/>
    </x:row>
    <x:row r="7" ht="22" customHeight="1">
      <x:c r="A7" s="15"/>
      <x:c r="B7" s="15"/>
      <x:c r="C7" s="15"/>
      <x:c r="D7" s="15"/>
      <x:c r="E7" s="15"/>
      <x:c r="F7" s="15"/>
      <x:c r="G7" s="15"/>
      <x:c r="H7" s="15"/>
      <x:c r="I7" s="15"/>
    </x:row>
    <x:row r="8" ht="22" customHeight="1">
      <x:c r="A8" s="2"/>
      <x:c r="B8" s="2"/>
      <x:c r="C8" s="2"/>
      <x:c r="D8" s="2"/>
      <x:c r="E8" s="2"/>
      <x:c r="F8" s="2"/>
      <x:c r="G8" s="2"/>
      <x:c r="H8" s="2"/>
      <x:c r="I8" s="2"/>
    </x:row>
    <x:row r="9" ht="32" customHeight="1">
      <x:c r="A9" s="9" t="str">
        <x:v>Week start</x:v>
      </x:c>
      <x:c r="B9" s="9" t="str">
        <x:v>Actual packs</x:v>
      </x:c>
      <x:c r="C9" s="9" t="str">
        <x:v>SMA4 forecast</x:v>
      </x:c>
      <x:c r="D9" s="9" t="str">
        <x:v>Error A-F</x:v>
      </x:c>
      <x:c r="E9" s="9" t="str">
        <x:v>Absolute error</x:v>
      </x:c>
      <x:c r="F9" s="9" t="str">
        <x:v>Squared error</x:v>
      </x:c>
      <x:c r="G9" s="2"/>
      <x:c r="H9" s="9" t="str">
        <x:v>Metric</x:v>
      </x:c>
      <x:c r="I9" s="9" t="str">
        <x:v>Excel formula result</x:v>
      </x:c>
    </x:row>
    <x:row r="10" ht="22" customHeight="1">
      <x:c r="A10" s="10" t="n">
        <x:f>Dataset!A150</x:f>
        <x:v>46209</x:v>
      </x:c>
      <x:c r="B10" s="16" t="n">
        <x:f>Dataset!D150</x:f>
        <x:v>5229</x:v>
      </x:c>
      <x:c r="C10" s="16" t="n">
        <x:f>AVERAGE(Dataset!D146:D149)</x:f>
        <x:v>5438.75</x:v>
      </x:c>
      <x:c r="D10" s="16" t="n">
        <x:f>B10-C10</x:f>
        <x:v>-209.75</x:v>
      </x:c>
      <x:c r="E10" s="16" t="n">
        <x:f>ABS(D10)</x:f>
        <x:v>209.75</x:v>
      </x:c>
      <x:c r="F10" s="16" t="n">
        <x:f>D10^2</x:f>
        <x:v>43995.0625</x:v>
      </x:c>
      <x:c r="G10" s="2"/>
      <x:c r="H10" s="2" t="str">
        <x:v>MAD</x:v>
      </x:c>
      <x:c r="I10" s="16" t="n">
        <x:f>AVERAGE(E10:E21)</x:f>
        <x:v>553.628317112724</x:v>
      </x:c>
    </x:row>
    <x:row r="11" ht="22" customHeight="1">
      <x:c r="A11" s="10" t="n">
        <x:f>Dataset!A151</x:f>
        <x:v>46216</x:v>
      </x:c>
      <x:c r="B11" s="16" t="n">
        <x:f>Dataset!D151</x:f>
        <x:v>6997</x:v>
      </x:c>
      <x:c r="C11" s="16" t="n">
        <x:f>AVERAGE(Dataset!D147:D149,C10)</x:f>
        <x:v>5436.6875</x:v>
      </x:c>
      <x:c r="D11" s="16" t="n">
        <x:f>B11-C11</x:f>
        <x:v>1560.3125</x:v>
      </x:c>
      <x:c r="E11" s="16" t="n">
        <x:f>ABS(D11)</x:f>
        <x:v>1560.3125</x:v>
      </x:c>
      <x:c r="F11" s="16" t="n">
        <x:f>D11^2</x:f>
        <x:v>2434575.09765625</x:v>
      </x:c>
      <x:c r="G11" s="2"/>
      <x:c r="H11" s="2" t="str">
        <x:v>RMSE</x:v>
      </x:c>
      <x:c r="I11" s="16" t="n">
        <x:f>SQRT(AVERAGE(F10:F21))</x:f>
        <x:v>752.6800778380016</x:v>
      </x:c>
    </x:row>
    <x:row r="12" ht="22" customHeight="1">
      <x:c r="A12" s="10" t="n">
        <x:f>Dataset!A152</x:f>
        <x:v>46223</x:v>
      </x:c>
      <x:c r="B12" s="16" t="n">
        <x:f>Dataset!D152</x:f>
        <x:v>5349</x:v>
      </x:c>
      <x:c r="C12" s="16" t="n">
        <x:f>AVERAGE(Dataset!D148:D149,C10:C11)</x:f>
        <x:v>5576.609375</x:v>
      </x:c>
      <x:c r="D12" s="16" t="n">
        <x:f>B12-C12</x:f>
        <x:v>-227.609375</x:v>
      </x:c>
      <x:c r="E12" s="16" t="n">
        <x:f>ABS(D12)</x:f>
        <x:v>227.609375</x:v>
      </x:c>
      <x:c r="F12" s="16" t="n">
        <x:f>D12^2</x:f>
        <x:v>51806.027587890625</x:v>
      </x:c>
      <x:c r="G12" s="2"/>
      <x:c r="H12" s="2" t="str">
        <x:v>WAPE</x:v>
      </x:c>
      <x:c r="I12" s="17" t="n">
        <x:f>SUM(E10:E21)/SUM(B10:B21)</x:f>
        <x:v>0.10256174826097147</x:v>
      </x:c>
    </x:row>
    <x:row r="13" ht="22" customHeight="1">
      <x:c r="A13" s="10" t="n">
        <x:f>Dataset!A153</x:f>
        <x:v>46230</x:v>
      </x:c>
      <x:c r="B13" s="16" t="n">
        <x:f>Dataset!D153</x:f>
        <x:v>5430</x:v>
      </x:c>
      <x:c r="C13" s="16" t="n">
        <x:f>AVERAGE(Dataset!D149,C10:C12)</x:f>
        <x:v>5577.01171875</x:v>
      </x:c>
      <x:c r="D13" s="16" t="n">
        <x:f>B13-C13</x:f>
        <x:v>-147.01171875</x:v>
      </x:c>
      <x:c r="E13" s="16" t="n">
        <x:f>ABS(D13)</x:f>
        <x:v>147.01171875</x:v>
      </x:c>
      <x:c r="F13" s="16" t="n">
        <x:f>D13^2</x:f>
        <x:v>21612.4454498291</x:v>
      </x:c>
      <x:c r="G13" s="2"/>
      <x:c r="H13" s="2"/>
      <x:c r="I13" s="2"/>
    </x:row>
    <x:row r="14" ht="22" customHeight="1">
      <x:c r="A14" s="10" t="n">
        <x:f>Dataset!A154</x:f>
        <x:v>46237</x:v>
      </x:c>
      <x:c r="B14" s="16" t="n">
        <x:f>Dataset!D154</x:f>
        <x:v>6448</x:v>
      </x:c>
      <x:c r="C14" s="16" t="n">
        <x:f>AVERAGE(C10:C13)</x:f>
        <x:v>5507.2646484375</x:v>
      </x:c>
      <x:c r="D14" s="16" t="n">
        <x:f>B14-C14</x:f>
        <x:v>940.7353515625</x:v>
      </x:c>
      <x:c r="E14" s="16" t="n">
        <x:f>ABS(D14)</x:f>
        <x:v>940.7353515625</x:v>
      </x:c>
      <x:c r="F14" s="16" t="n">
        <x:f>D14^2</x:f>
        <x:v>884983.0016794205</x:v>
      </x:c>
      <x:c r="G14" s="2"/>
      <x:c r="H14" s="2"/>
      <x:c r="I14" s="2"/>
    </x:row>
    <x:row r="15" ht="22" customHeight="1">
      <x:c r="A15" s="10" t="n">
        <x:f>Dataset!A155</x:f>
        <x:v>46244</x:v>
      </x:c>
      <x:c r="B15" s="16" t="n">
        <x:f>Dataset!D155</x:f>
        <x:v>4787</x:v>
      </x:c>
      <x:c r="C15" s="16" t="n">
        <x:f>AVERAGE(C11:C14)</x:f>
        <x:v>5524.393310546875</x:v>
      </x:c>
      <x:c r="D15" s="16" t="n">
        <x:f>B15-C15</x:f>
        <x:v>-737.393310546875</x:v>
      </x:c>
      <x:c r="E15" s="16" t="n">
        <x:f>ABS(D15)</x:f>
        <x:v>737.393310546875</x:v>
      </x:c>
      <x:c r="F15" s="16" t="n">
        <x:f>D15^2</x:f>
        <x:v>543748.89443928</x:v>
      </x:c>
      <x:c r="G15" s="2"/>
      <x:c r="H15" s="14" t="str">
        <x:v>Calculated independently in Excel and cross-checked against notebook arithmetic. This is an automated check; student manual verification is not asserted.</x:v>
      </x:c>
      <x:c r="I15" s="14"/>
    </x:row>
    <x:row r="16" ht="22" customHeight="1">
      <x:c r="A16" s="10" t="n">
        <x:f>Dataset!A156</x:f>
        <x:v>46251</x:v>
      </x:c>
      <x:c r="B16" s="16" t="n">
        <x:f>Dataset!D156</x:f>
        <x:v>5294</x:v>
      </x:c>
      <x:c r="C16" s="16" t="n">
        <x:f>AVERAGE(C12:C15)</x:f>
        <x:v>5546.319763183594</x:v>
      </x:c>
      <x:c r="D16" s="16" t="n">
        <x:f>B16-C16</x:f>
        <x:v>-252.31976318359375</x:v>
      </x:c>
      <x:c r="E16" s="16" t="n">
        <x:f>ABS(D16)</x:f>
        <x:v>252.31976318359375</x:v>
      </x:c>
      <x:c r="F16" s="16" t="n">
        <x:f>D16^2</x:f>
        <x:v>63665.26289302483</x:v>
      </x:c>
      <x:c r="G16" s="2"/>
      <x:c r="H16" s="14"/>
      <x:c r="I16" s="14"/>
    </x:row>
    <x:row r="17" ht="22" customHeight="1">
      <x:c r="A17" s="10" t="n">
        <x:f>Dataset!A157</x:f>
        <x:v>46258</x:v>
      </x:c>
      <x:c r="B17" s="16" t="n">
        <x:f>Dataset!D157</x:f>
        <x:v>4083</x:v>
      </x:c>
      <x:c r="C17" s="16" t="n">
        <x:f>AVERAGE(C13:C16)</x:f>
        <x:v>5538.747360229492</x:v>
      </x:c>
      <x:c r="D17" s="16" t="n">
        <x:f>B17-C17</x:f>
        <x:v>-1455.7473602294922</x:v>
      </x:c>
      <x:c r="E17" s="16" t="n">
        <x:f>ABS(D17)</x:f>
        <x:v>1455.7473602294922</x:v>
      </x:c>
      <x:c r="F17" s="16" t="n">
        <x:f>D17^2</x:f>
        <x:v>2119200.3768151347</x:v>
      </x:c>
      <x:c r="G17" s="2"/>
      <x:c r="H17" s="14"/>
      <x:c r="I17" s="14"/>
    </x:row>
    <x:row r="18" ht="22" customHeight="1">
      <x:c r="A18" s="10" t="n">
        <x:f>Dataset!A158</x:f>
        <x:v>46265</x:v>
      </x:c>
      <x:c r="B18" s="16" t="n">
        <x:f>Dataset!D158</x:f>
        <x:v>5597</x:v>
      </x:c>
      <x:c r="C18" s="16" t="n">
        <x:f>AVERAGE(C14:C17)</x:f>
        <x:v>5529.181270599365</x:v>
      </x:c>
      <x:c r="D18" s="16" t="n">
        <x:f>B18-C18</x:f>
        <x:v>67.81872940063477</x:v>
      </x:c>
      <x:c r="E18" s="16" t="n">
        <x:f>ABS(D18)</x:f>
        <x:v>67.81872940063477</x:v>
      </x:c>
      <x:c r="F18" s="16" t="n">
        <x:f>D18^2</x:f>
        <x:v>4599.380057516522</x:v>
      </x:c>
      <x:c r="G18" s="2"/>
      <x:c r="H18" s="14"/>
      <x:c r="I18" s="14"/>
    </x:row>
    <x:row r="19" ht="22" customHeight="1">
      <x:c r="A19" s="10" t="n">
        <x:f>Dataset!A159</x:f>
        <x:v>46272</x:v>
      </x:c>
      <x:c r="B19" s="16" t="n">
        <x:f>Dataset!D159</x:f>
        <x:v>4766</x:v>
      </x:c>
      <x:c r="C19" s="16" t="n">
        <x:f>AVERAGE(C15:C18)</x:f>
        <x:v>5534.6604261398315</x:v>
      </x:c>
      <x:c r="D19" s="16" t="n">
        <x:f>B19-C19</x:f>
        <x:v>-768.6604261398315</x:v>
      </x:c>
      <x:c r="E19" s="16" t="n">
        <x:f>ABS(D19)</x:f>
        <x:v>768.6604261398315</x:v>
      </x:c>
      <x:c r="F19" s="16" t="n">
        <x:f>D19^2</x:f>
        <x:v>590838.8507134675</x:v>
      </x:c>
      <x:c r="G19" s="2"/>
      <x:c r="H19" s="2"/>
      <x:c r="I19" s="2"/>
    </x:row>
    <x:row r="20" ht="22" customHeight="1">
      <x:c r="A20" s="10" t="n">
        <x:f>Dataset!A160</x:f>
        <x:v>46279</x:v>
      </x:c>
      <x:c r="B20" s="16" t="n">
        <x:f>Dataset!D160</x:f>
        <x:v>5375</x:v>
      </x:c>
      <x:c r="C20" s="16" t="n">
        <x:f>AVERAGE(C16:C19)</x:f>
        <x:v>5537.227205038071</x:v>
      </x:c>
      <x:c r="D20" s="16" t="n">
        <x:f>B20-C20</x:f>
        <x:v>-162.22720503807068</x:v>
      </x:c>
      <x:c r="E20" s="16" t="n">
        <x:f>ABS(D20)</x:f>
        <x:v>162.22720503807068</x:v>
      </x:c>
      <x:c r="F20" s="16" t="n">
        <x:f>D20^2</x:f>
        <x:v>26317.666054464225</x:v>
      </x:c>
      <x:c r="G20" s="2"/>
      <x:c r="H20" s="2"/>
      <x:c r="I20" s="2"/>
    </x:row>
    <x:row r="21" ht="22" customHeight="1">
      <x:c r="A21" s="10" t="n">
        <x:f>Dataset!A161</x:f>
        <x:v>46286</x:v>
      </x:c>
      <x:c r="B21" s="16" t="n">
        <x:f>Dataset!D161</x:f>
        <x:v>5421</x:v>
      </x:c>
      <x:c r="C21" s="16" t="n">
        <x:f>AVERAGE(C17:C20)</x:f>
        <x:v>5534.95406550169</x:v>
      </x:c>
      <x:c r="D21" s="16" t="n">
        <x:f>B21-C21</x:f>
        <x:v>-113.95406550168991</x:v>
      </x:c>
      <x:c r="E21" s="16" t="n">
        <x:f>ABS(D21)</x:f>
        <x:v>113.95406550168991</x:v>
      </x:c>
      <x:c r="F21" s="16" t="n">
        <x:f>D21^2</x:f>
        <x:v>12985.529044363435</x:v>
      </x:c>
      <x:c r="G21" s="2"/>
      <x:c r="H21" s="2"/>
      <x:c r="I21" s="2"/>
    </x:row>
    <x:row r="22" ht="22" customHeight="1">
      <x:c r="A22" s="2"/>
      <x:c r="B22" s="2"/>
      <x:c r="C22" s="2"/>
      <x:c r="D22" s="2"/>
      <x:c r="E22" s="2"/>
      <x:c r="F22" s="2"/>
      <x:c r="G22" s="2"/>
      <x:c r="H22" s="2"/>
      <x:c r="I22" s="2"/>
    </x:row>
    <x:row r="23" ht="22" customHeight="1">
      <x:c r="A23" s="2"/>
      <x:c r="B23" s="2"/>
      <x:c r="C23" s="2"/>
      <x:c r="D23" s="2"/>
      <x:c r="E23" s="2"/>
      <x:c r="F23" s="2"/>
      <x:c r="G23" s="2"/>
      <x:c r="H23" s="2"/>
      <x:c r="I23" s="2"/>
    </x:row>
    <x:row r="24" ht="22" customHeight="1">
      <x:c r="A24" s="2"/>
      <x:c r="B24" s="2"/>
      <x:c r="C24" s="2"/>
      <x:c r="D24" s="2"/>
      <x:c r="E24" s="2"/>
      <x:c r="F24" s="2"/>
      <x:c r="G24" s="2"/>
      <x:c r="H24" s="2"/>
      <x:c r="I24" s="2"/>
    </x:row>
    <x:row r="25" ht="22" customHeight="1">
      <x:c r="A25" s="2"/>
      <x:c r="B25" s="2"/>
      <x:c r="C25" s="2"/>
      <x:c r="D25" s="2"/>
      <x:c r="E25" s="2"/>
      <x:c r="F25" s="2"/>
      <x:c r="G25" s="2"/>
      <x:c r="H25" s="2"/>
      <x:c r="I25" s="2"/>
    </x:row>
    <x:row r="26" ht="22" customHeight="1">
      <x:c r="A26" s="2"/>
      <x:c r="B26" s="2"/>
      <x:c r="C26" s="2"/>
      <x:c r="D26" s="2"/>
      <x:c r="E26" s="2"/>
      <x:c r="F26" s="2"/>
      <x:c r="G26" s="2"/>
      <x:c r="H26" s="2"/>
      <x:c r="I26" s="2"/>
    </x:row>
    <x:row r="27" ht="22" customHeight="1">
      <x:c r="A27" s="2"/>
      <x:c r="B27" s="2"/>
      <x:c r="C27" s="2"/>
      <x:c r="D27" s="2"/>
      <x:c r="E27" s="2"/>
      <x:c r="F27" s="2"/>
      <x:c r="G27" s="2"/>
      <x:c r="H27" s="2"/>
      <x:c r="I27" s="2"/>
    </x:row>
    <x:row r="28" ht="22" customHeight="1">
      <x:c r="A28" s="2"/>
      <x:c r="B28" s="2"/>
      <x:c r="C28" s="2"/>
      <x:c r="D28" s="2"/>
      <x:c r="E28" s="2"/>
      <x:c r="F28" s="2"/>
      <x:c r="G28" s="2"/>
      <x:c r="H28" s="2"/>
      <x:c r="I28" s="2"/>
    </x:row>
    <x:row r="29" ht="22" customHeight="1">
      <x:c r="A29" s="2"/>
      <x:c r="B29" s="2"/>
      <x:c r="C29" s="2"/>
      <x:c r="D29" s="2"/>
      <x:c r="E29" s="2"/>
      <x:c r="F29" s="2"/>
      <x:c r="G29" s="2"/>
      <x:c r="H29" s="2"/>
      <x:c r="I29" s="2"/>
    </x:row>
    <x:row r="30" ht="22" customHeight="1">
      <x:c r="A30" s="2"/>
      <x:c r="B30" s="2"/>
      <x:c r="C30" s="2"/>
      <x:c r="D30" s="2"/>
      <x:c r="E30" s="2"/>
      <x:c r="F30" s="2"/>
      <x:c r="G30" s="2"/>
      <x:c r="H30" s="2"/>
      <x:c r="I30" s="2"/>
    </x:row>
    <x:row r="31" ht="22" customHeight="1">
      <x:c r="A31" s="2"/>
      <x:c r="B31" s="2"/>
      <x:c r="C31" s="2"/>
      <x:c r="D31" s="2"/>
      <x:c r="E31" s="2"/>
      <x:c r="F31" s="2"/>
      <x:c r="G31" s="2"/>
      <x:c r="H31" s="2"/>
      <x:c r="I31" s="2"/>
    </x:row>
  </x:sheetData>
  <x:mergeCells>
    <x:mergeCell ref="A1:I2"/>
    <x:mergeCell ref="A6:I7"/>
    <x:mergeCell ref="H15:I18"/>
  </x:mergeCells>
  <x:pageMargins left="0.7" right="0.7" top="0.75" bottom="0.75" header="0.3" footer="0.3"/>
</x:worksheet>
</file>